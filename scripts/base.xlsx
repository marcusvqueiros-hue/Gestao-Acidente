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tables/table3.xml" ContentType="application/vnd.openxmlformats-officedocument.spreadsheetml.table+xml"/>
  <Override PartName="/xl/drawings/drawing7.xml" ContentType="application/vnd.openxmlformats-officedocument.drawing+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cgbengenharia-my.sharepoint.com/personal/marcus_vinicius_cgbengenharia_onmicrosoft_com/Documents/Área de Trabalho/QSMS/Acidentes/"/>
    </mc:Choice>
  </mc:AlternateContent>
  <xr:revisionPtr revIDLastSave="682" documentId="13_ncr:1_{ECC70FE1-F0B0-4D91-90CF-0739B815838B}" xr6:coauthVersionLast="47" xr6:coauthVersionMax="47" xr10:uidLastSave="{BCDC20B9-3866-4C07-8269-A4AE5B58E4B8}"/>
  <bookViews>
    <workbookView xWindow="-108" yWindow="-108" windowWidth="23256" windowHeight="12456" tabRatio="429" xr2:uid="{00000000-000D-0000-FFFF-FFFF00000000}"/>
  </bookViews>
  <sheets>
    <sheet name="BASE" sheetId="1" r:id="rId1"/>
    <sheet name="TG e TF" sheetId="10" r:id="rId2"/>
    <sheet name="NDGS" sheetId="11" r:id="rId3"/>
    <sheet name="Painel Acidentes" sheetId="2" r:id="rId4"/>
    <sheet name="Validação" sheetId="9" r:id="rId5"/>
    <sheet name="Painel Incidentes" sheetId="8" state="hidden" r:id="rId6"/>
    <sheet name="INCIDENTES INTERNOS" sheetId="7" state="hidden" r:id="rId7"/>
    <sheet name="NÃO ACIDENTES" sheetId="5"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1__123Graph_ACHART_1" hidden="1">[1]PG_Absoluto!$Q$10:$W$10</definedName>
    <definedName name="__123Graph_A" localSheetId="6" hidden="1">[2]Mercado!#REF!</definedName>
    <definedName name="__123Graph_A" localSheetId="5" hidden="1">[2]Mercado!#REF!</definedName>
    <definedName name="__123Graph_A" hidden="1">[2]Mercado!#REF!</definedName>
    <definedName name="__123Graph_ACOMPARA" localSheetId="6" hidden="1">[2]Mercado!#REF!</definedName>
    <definedName name="__123Graph_ACOMPARA" localSheetId="5" hidden="1">[2]Mercado!#REF!</definedName>
    <definedName name="__123Graph_ACOMPARA" hidden="1">[2]Mercado!#REF!</definedName>
    <definedName name="__123Graph_ACONSMED" localSheetId="6" hidden="1">[2]Mercado!#REF!</definedName>
    <definedName name="__123Graph_ACONSMED" localSheetId="5" hidden="1">[2]Mercado!#REF!</definedName>
    <definedName name="__123Graph_ACONSMED" hidden="1">[2]Mercado!#REF!</definedName>
    <definedName name="__123Graph_ADIESEL" localSheetId="6" hidden="1">[3]Q3_4!#REF!</definedName>
    <definedName name="__123Graph_ADIESEL" localSheetId="5" hidden="1">[3]Q3_4!#REF!</definedName>
    <definedName name="__123Graph_ADIESEL" hidden="1">[3]Q3_4!#REF!</definedName>
    <definedName name="__123Graph_AESTRUT" localSheetId="6" hidden="1">[4]Q2_4!#REF!</definedName>
    <definedName name="__123Graph_AESTRUT" localSheetId="5" hidden="1">[4]Q2_4!#REF!</definedName>
    <definedName name="__123Graph_AESTRUT" hidden="1">[4]Q2_4!#REF!</definedName>
    <definedName name="__123Graph_APREVRCOM" localSheetId="6" hidden="1">#REF!</definedName>
    <definedName name="__123Graph_APREVRCOM" localSheetId="5" hidden="1">#REF!</definedName>
    <definedName name="__123Graph_APREVRCOM" hidden="1">#REF!</definedName>
    <definedName name="__123Graph_APREVREALI" localSheetId="6" hidden="1">#REF!</definedName>
    <definedName name="__123Graph_APREVREALI" localSheetId="5" hidden="1">#REF!</definedName>
    <definedName name="__123Graph_APREVREALI" hidden="1">#REF!</definedName>
    <definedName name="__123Graph_APREVRIND" localSheetId="6" hidden="1">#REF!</definedName>
    <definedName name="__123Graph_APREVRIND" localSheetId="5" hidden="1">#REF!</definedName>
    <definedName name="__123Graph_APREVRIND" hidden="1">#REF!</definedName>
    <definedName name="__123Graph_APREVROUT" localSheetId="6" hidden="1">[2]Mercado!#REF!</definedName>
    <definedName name="__123Graph_APREVROUT" localSheetId="5" hidden="1">[2]Mercado!#REF!</definedName>
    <definedName name="__123Graph_APREVROUT" hidden="1">[2]Mercado!#REF!</definedName>
    <definedName name="__123Graph_APREVRRES" localSheetId="6" hidden="1">#REF!</definedName>
    <definedName name="__123Graph_APREVRRES" localSheetId="5" hidden="1">#REF!</definedName>
    <definedName name="__123Graph_APREVRRES" hidden="1">#REF!</definedName>
    <definedName name="__123Graph_APREVRTOT" localSheetId="6" hidden="1">#REF!</definedName>
    <definedName name="__123Graph_APREVRTOT" localSheetId="5" hidden="1">#REF!</definedName>
    <definedName name="__123Graph_APREVRTOT" hidden="1">#REF!</definedName>
    <definedName name="__123Graph_B" localSheetId="6" hidden="1">#REF!</definedName>
    <definedName name="__123Graph_B" localSheetId="5" hidden="1">#REF!</definedName>
    <definedName name="__123Graph_B" hidden="1">#REF!</definedName>
    <definedName name="__123Graph_BCOMPARA" localSheetId="6" hidden="1">#REF!</definedName>
    <definedName name="__123Graph_BCOMPARA" localSheetId="5" hidden="1">#REF!</definedName>
    <definedName name="__123Graph_BCOMPARA" hidden="1">#REF!</definedName>
    <definedName name="__123Graph_BPREVREALI" localSheetId="6" hidden="1">#REF!</definedName>
    <definedName name="__123Graph_BPREVREALI" localSheetId="5" hidden="1">#REF!</definedName>
    <definedName name="__123Graph_BPREVREALI" hidden="1">#REF!</definedName>
    <definedName name="__123Graph_C" localSheetId="6" hidden="1">[5]Jan!#REF!</definedName>
    <definedName name="__123Graph_C" localSheetId="5" hidden="1">[5]Jan!#REF!</definedName>
    <definedName name="__123Graph_C" hidden="1">[5]Jan!#REF!</definedName>
    <definedName name="__123Graph_CPREVREALI" localSheetId="6" hidden="1">#REF!</definedName>
    <definedName name="__123Graph_CPREVREALI" localSheetId="5" hidden="1">#REF!</definedName>
    <definedName name="__123Graph_CPREVREALI" hidden="1">#REF!</definedName>
    <definedName name="__123Graph_D" localSheetId="6" hidden="1">#REF!</definedName>
    <definedName name="__123Graph_D" localSheetId="5" hidden="1">#REF!</definedName>
    <definedName name="__123Graph_D" hidden="1">#REF!</definedName>
    <definedName name="__123Graph_DCOMPARA" localSheetId="6" hidden="1">#REF!</definedName>
    <definedName name="__123Graph_DCOMPARA" localSheetId="5" hidden="1">#REF!</definedName>
    <definedName name="__123Graph_DCOMPARA" hidden="1">#REF!</definedName>
    <definedName name="__123Graph_DPREVREALI" localSheetId="6" hidden="1">[2]Mercado!#REF!</definedName>
    <definedName name="__123Graph_DPREVREALI" localSheetId="5" hidden="1">[2]Mercado!#REF!</definedName>
    <definedName name="__123Graph_DPREVREALI" hidden="1">[2]Mercado!#REF!</definedName>
    <definedName name="__123Graph_E" localSheetId="6" hidden="1">[4]Q2_15!#REF!</definedName>
    <definedName name="__123Graph_E" localSheetId="5" hidden="1">[4]Q2_15!#REF!</definedName>
    <definedName name="__123Graph_E" hidden="1">[4]Q2_15!#REF!</definedName>
    <definedName name="__123Graph_EPREVREALI" localSheetId="6" hidden="1">#REF!</definedName>
    <definedName name="__123Graph_EPREVREALI" localSheetId="5" hidden="1">#REF!</definedName>
    <definedName name="__123Graph_EPREVREALI" hidden="1">#REF!</definedName>
    <definedName name="__123Graph_F" localSheetId="6" hidden="1">#REF!</definedName>
    <definedName name="__123Graph_F" localSheetId="5" hidden="1">#REF!</definedName>
    <definedName name="__123Graph_F" hidden="1">#REF!</definedName>
    <definedName name="__123Graph_FCOMPARA" localSheetId="6" hidden="1">#REF!</definedName>
    <definedName name="__123Graph_FCOMPARA" localSheetId="5" hidden="1">#REF!</definedName>
    <definedName name="__123Graph_FCOMPARA" hidden="1">#REF!</definedName>
    <definedName name="__123Graph_LBL_A" localSheetId="6" hidden="1">[4]Q2_15!#REF!</definedName>
    <definedName name="__123Graph_LBL_A" localSheetId="5" hidden="1">[4]Q2_15!#REF!</definedName>
    <definedName name="__123Graph_LBL_A" hidden="1">[4]Q2_15!#REF!</definedName>
    <definedName name="__123Graph_LBL_ADIESEL" localSheetId="6" hidden="1">[3]Q3_4!#REF!</definedName>
    <definedName name="__123Graph_LBL_ADIESEL" localSheetId="5" hidden="1">[3]Q3_4!#REF!</definedName>
    <definedName name="__123Graph_LBL_ADIESEL" hidden="1">[3]Q3_4!#REF!</definedName>
    <definedName name="__123Graph_LBL_B" localSheetId="6" hidden="1">[4]Q2_15!#REF!</definedName>
    <definedName name="__123Graph_LBL_B" localSheetId="5" hidden="1">[4]Q2_15!#REF!</definedName>
    <definedName name="__123Graph_LBL_B" hidden="1">[4]Q2_15!#REF!</definedName>
    <definedName name="__123Graph_X" hidden="1">[6]FTJAN95!$A$6:$A$21</definedName>
    <definedName name="__123Graph_XCONSMED" localSheetId="6" hidden="1">[2]Mercado!#REF!</definedName>
    <definedName name="__123Graph_XCONSMED" localSheetId="5" hidden="1">[2]Mercado!#REF!</definedName>
    <definedName name="__123Graph_XCONSMED" hidden="1">[2]Mercado!#REF!</definedName>
    <definedName name="__123Graph_XELASTIC" localSheetId="6" hidden="1">[2]Mercado!#REF!</definedName>
    <definedName name="__123Graph_XELASTIC" localSheetId="5" hidden="1">[2]Mercado!#REF!</definedName>
    <definedName name="__123Graph_XELASTIC" hidden="1">[2]Mercado!#REF!</definedName>
    <definedName name="__123Graph_XESTRUT" localSheetId="6" hidden="1">[4]Q2_4!#REF!</definedName>
    <definedName name="__123Graph_XESTRUT" localSheetId="5" hidden="1">[4]Q2_4!#REF!</definedName>
    <definedName name="__123Graph_XESTRUT" hidden="1">[4]Q2_4!#REF!</definedName>
    <definedName name="__123Graph_XPREVRCOM" localSheetId="6" hidden="1">[2]Mercado!#REF!</definedName>
    <definedName name="__123Graph_XPREVRCOM" localSheetId="5" hidden="1">[2]Mercado!#REF!</definedName>
    <definedName name="__123Graph_XPREVRCOM" hidden="1">[2]Mercado!#REF!</definedName>
    <definedName name="__123Graph_XPREVREALI" localSheetId="6" hidden="1">[2]Mercado!#REF!</definedName>
    <definedName name="__123Graph_XPREVREALI" localSheetId="5" hidden="1">[2]Mercado!#REF!</definedName>
    <definedName name="__123Graph_XPREVREALI" hidden="1">[2]Mercado!#REF!</definedName>
    <definedName name="__123Graph_XPREVRIND" localSheetId="6" hidden="1">[2]Mercado!#REF!</definedName>
    <definedName name="__123Graph_XPREVRIND" localSheetId="5" hidden="1">[2]Mercado!#REF!</definedName>
    <definedName name="__123Graph_XPREVRIND" hidden="1">[2]Mercado!#REF!</definedName>
    <definedName name="__123Graph_XPREVROUT" localSheetId="6" hidden="1">[2]Mercado!#REF!</definedName>
    <definedName name="__123Graph_XPREVROUT" localSheetId="5" hidden="1">[2]Mercado!#REF!</definedName>
    <definedName name="__123Graph_XPREVROUT" hidden="1">[2]Mercado!#REF!</definedName>
    <definedName name="__123Graph_XPREVRRES" localSheetId="6" hidden="1">[2]Mercado!#REF!</definedName>
    <definedName name="__123Graph_XPREVRRES" localSheetId="5" hidden="1">[2]Mercado!#REF!</definedName>
    <definedName name="__123Graph_XPREVRRES" hidden="1">[2]Mercado!#REF!</definedName>
    <definedName name="__123Graph_XPREVRTOT" localSheetId="6" hidden="1">[2]Mercado!#REF!</definedName>
    <definedName name="__123Graph_XPREVRTOT" localSheetId="5" hidden="1">[2]Mercado!#REF!</definedName>
    <definedName name="__123Graph_XPREVRTOT" hidden="1">[2]Mercado!#REF!</definedName>
    <definedName name="__2__123Graph_ACHART_2" hidden="1">[1]PG_Absoluto!$Q$45:$W$45</definedName>
    <definedName name="__3__123Graph_ACHART_3" hidden="1">[1]PG_Absoluto!$Q$79:$W$79</definedName>
    <definedName name="__4__123Graph_ACHART_4" hidden="1">[1]PG_Absoluto!$Q$114:$W$114</definedName>
    <definedName name="__5__123Graph_ACHART_5" localSheetId="6" hidden="1">#REF!</definedName>
    <definedName name="__5__123Graph_ACHART_5" localSheetId="5" hidden="1">#REF!</definedName>
    <definedName name="__5__123Graph_ACHART_5" hidden="1">#REF!</definedName>
    <definedName name="__6__123Graph_ACHART_6" localSheetId="6" hidden="1">#REF!</definedName>
    <definedName name="__6__123Graph_ACHART_6" localSheetId="5" hidden="1">#REF!</definedName>
    <definedName name="__6__123Graph_ACHART_6" hidden="1">#REF!</definedName>
    <definedName name="__7__123Graph_ACHART_7" localSheetId="6" hidden="1">#REF!</definedName>
    <definedName name="__7__123Graph_ACHART_7" localSheetId="5" hidden="1">#REF!</definedName>
    <definedName name="__7__123Graph_ACHART_7" hidden="1">#REF!</definedName>
    <definedName name="__8__123Graph_ACHART_8" localSheetId="6" hidden="1">#REF!</definedName>
    <definedName name="__8__123Graph_ACHART_8" localSheetId="5" hidden="1">#REF!</definedName>
    <definedName name="__8__123Graph_ACHART_8" hidden="1">#REF!</definedName>
    <definedName name="__xlcn.WorksheetConnection_IndicadordeProcessoSeletivo.xlsxTabela1_2" localSheetId="6" hidden="1">#REF!</definedName>
    <definedName name="__xlcn.WorksheetConnection_IndicadordeProcessoSeletivo.xlsxTabela1_2" localSheetId="5" hidden="1">#REF!</definedName>
    <definedName name="__xlcn.WorksheetConnection_IndicadordeProcessoSeletivo.xlsxTabela1_2" hidden="1">#REF!</definedName>
    <definedName name="_1__123Graph_ACHART_1" hidden="1">[1]PG_Absoluto!$Q$10:$W$10</definedName>
    <definedName name="_10__123Graph_BCHART_1" hidden="1">[1]PG_Absoluto!$Q$11:$W$11</definedName>
    <definedName name="_11__123Graph_BCHART_2" hidden="1">[1]PG_Absoluto!$Q$46:$W$46</definedName>
    <definedName name="_12__123Graph_BCHART_3" hidden="1">[1]PG_Absoluto!$Q$80:$W$80</definedName>
    <definedName name="_13__123Graph_AOPER_2" localSheetId="6" hidden="1">[4]Q2_2!#REF!</definedName>
    <definedName name="_13__123Graph_AOPER_2" localSheetId="5" hidden="1">[4]Q2_2!#REF!</definedName>
    <definedName name="_13__123Graph_AOPER_2" hidden="1">[4]Q2_2!#REF!</definedName>
    <definedName name="_13__123Graph_BCHART_4" hidden="1">[1]PG_Absoluto!$Q$115:$W$115</definedName>
    <definedName name="_14__123Graph_BCHART_1" hidden="1">[1]PG_Absoluto!$Q$11:$W$11</definedName>
    <definedName name="_14__123Graph_BCHART_5" localSheetId="6" hidden="1">#REF!</definedName>
    <definedName name="_14__123Graph_BCHART_5" localSheetId="5" hidden="1">#REF!</definedName>
    <definedName name="_14__123Graph_BCHART_5" hidden="1">#REF!</definedName>
    <definedName name="_15__123Graph_BCHART_2" hidden="1">[1]PG_Absoluto!$Q$46:$W$46</definedName>
    <definedName name="_15__123Graph_BCHART_6" localSheetId="6" hidden="1">#REF!</definedName>
    <definedName name="_15__123Graph_BCHART_6" localSheetId="5" hidden="1">#REF!</definedName>
    <definedName name="_15__123Graph_BCHART_6" hidden="1">#REF!</definedName>
    <definedName name="_16__123Graph_BCHART_3" hidden="1">[1]PG_Absoluto!$Q$80:$W$80</definedName>
    <definedName name="_16__123Graph_BCHART_7" localSheetId="6" hidden="1">#REF!</definedName>
    <definedName name="_16__123Graph_BCHART_7" localSheetId="5" hidden="1">#REF!</definedName>
    <definedName name="_16__123Graph_BCHART_7" hidden="1">#REF!</definedName>
    <definedName name="_17__123Graph_BCHART_4" hidden="1">[1]PG_Absoluto!$Q$115:$W$115</definedName>
    <definedName name="_17__123Graph_BCHART_8" localSheetId="6" hidden="1">#REF!</definedName>
    <definedName name="_17__123Graph_BCHART_8" localSheetId="5" hidden="1">#REF!</definedName>
    <definedName name="_17__123Graph_BCHART_8" hidden="1">#REF!</definedName>
    <definedName name="_18__123Graph_BCHART_5" localSheetId="6" hidden="1">#REF!</definedName>
    <definedName name="_18__123Graph_BCHART_5" localSheetId="5" hidden="1">#REF!</definedName>
    <definedName name="_18__123Graph_BCHART_5" hidden="1">#REF!</definedName>
    <definedName name="_18__123Graph_CCHART_1" hidden="1">[1]PG_Absoluto!$Q$12:$W$12</definedName>
    <definedName name="_19__123Graph_BCHART_6" localSheetId="6" hidden="1">#REF!</definedName>
    <definedName name="_19__123Graph_BCHART_6" localSheetId="5" hidden="1">#REF!</definedName>
    <definedName name="_19__123Graph_BCHART_6" hidden="1">#REF!</definedName>
    <definedName name="_19__123Graph_CCHART_2" hidden="1">[1]PG_Absoluto!$Q$47:$W$47</definedName>
    <definedName name="_2__123Graph_ACHART_2" hidden="1">[1]PG_Absoluto!$Q$45:$W$45</definedName>
    <definedName name="_20__123Graph_BCHART_7" localSheetId="6" hidden="1">#REF!</definedName>
    <definedName name="_20__123Graph_BCHART_7" localSheetId="5" hidden="1">#REF!</definedName>
    <definedName name="_20__123Graph_BCHART_7" hidden="1">#REF!</definedName>
    <definedName name="_20__123Graph_CCHART_3" hidden="1">[1]PG_Absoluto!$Q$81:$W$81</definedName>
    <definedName name="_21__123Graph_BCHART_8" localSheetId="6" hidden="1">#REF!</definedName>
    <definedName name="_21__123Graph_BCHART_8" localSheetId="5" hidden="1">#REF!</definedName>
    <definedName name="_21__123Graph_BCHART_8" hidden="1">#REF!</definedName>
    <definedName name="_21__123Graph_CCHART_4" hidden="1">[1]PG_Absoluto!$Q$116:$W$116</definedName>
    <definedName name="_22__123Graph_CCHART_1" hidden="1">[1]PG_Absoluto!$Q$12:$W$12</definedName>
    <definedName name="_22__123Graph_CCHART_5" localSheetId="6" hidden="1">#REF!</definedName>
    <definedName name="_22__123Graph_CCHART_5" localSheetId="5" hidden="1">#REF!</definedName>
    <definedName name="_22__123Graph_CCHART_5" hidden="1">#REF!</definedName>
    <definedName name="_23__123Graph_CCHART_2" hidden="1">[1]PG_Absoluto!$Q$47:$W$47</definedName>
    <definedName name="_23__123Graph_CCHART_6" localSheetId="6" hidden="1">#REF!</definedName>
    <definedName name="_23__123Graph_CCHART_6" localSheetId="5" hidden="1">#REF!</definedName>
    <definedName name="_23__123Graph_CCHART_6" hidden="1">#REF!</definedName>
    <definedName name="_24__123Graph_CCHART_3" hidden="1">[1]PG_Absoluto!$Q$81:$W$81</definedName>
    <definedName name="_24__123Graph_CCHART_7" localSheetId="6" hidden="1">#REF!</definedName>
    <definedName name="_24__123Graph_CCHART_7" localSheetId="5" hidden="1">#REF!</definedName>
    <definedName name="_24__123Graph_CCHART_7" hidden="1">#REF!</definedName>
    <definedName name="_25__123Graph_CCHART_4" hidden="1">[1]PG_Absoluto!$Q$116:$W$116</definedName>
    <definedName name="_25__123Graph_CCHART_8" localSheetId="6" hidden="1">#REF!</definedName>
    <definedName name="_25__123Graph_CCHART_8" localSheetId="5" hidden="1">#REF!</definedName>
    <definedName name="_25__123Graph_CCHART_8" hidden="1">#REF!</definedName>
    <definedName name="_26__123Graph_CCHART_5" localSheetId="6" hidden="1">#REF!</definedName>
    <definedName name="_26__123Graph_CCHART_5" localSheetId="5" hidden="1">#REF!</definedName>
    <definedName name="_26__123Graph_CCHART_5" hidden="1">#REF!</definedName>
    <definedName name="_26__123Graph_DCHART_1" hidden="1">[1]PG_Absoluto!$Q$13:$W$13</definedName>
    <definedName name="_27__123Graph_CCHART_6" localSheetId="6" hidden="1">#REF!</definedName>
    <definedName name="_27__123Graph_CCHART_6" localSheetId="5" hidden="1">#REF!</definedName>
    <definedName name="_27__123Graph_CCHART_6" hidden="1">#REF!</definedName>
    <definedName name="_27__123Graph_DCHART_2" hidden="1">[1]PG_Absoluto!$Q$48:$W$48</definedName>
    <definedName name="_28__123Graph_CCHART_7" localSheetId="6" hidden="1">#REF!</definedName>
    <definedName name="_28__123Graph_CCHART_7" localSheetId="5" hidden="1">#REF!</definedName>
    <definedName name="_28__123Graph_CCHART_7" hidden="1">#REF!</definedName>
    <definedName name="_28__123Graph_DCHART_3" hidden="1">[1]PG_Absoluto!$Q$82:$W$82</definedName>
    <definedName name="_29__123Graph_CCHART_8" localSheetId="6" hidden="1">#REF!</definedName>
    <definedName name="_29__123Graph_CCHART_8" localSheetId="5" hidden="1">#REF!</definedName>
    <definedName name="_29__123Graph_CCHART_8" hidden="1">#REF!</definedName>
    <definedName name="_29__123Graph_DCHART_4" hidden="1">[1]PG_Absoluto!$Q$117:$W$117</definedName>
    <definedName name="_3__123Graph_ACHART_3" hidden="1">[1]PG_Absoluto!$Q$79:$W$79</definedName>
    <definedName name="_30__123Graph_DCHART_1" hidden="1">[1]PG_Absoluto!$Q$13:$W$13</definedName>
    <definedName name="_30__123Graph_DCHART_5" localSheetId="6" hidden="1">#REF!</definedName>
    <definedName name="_30__123Graph_DCHART_5" localSheetId="5" hidden="1">#REF!</definedName>
    <definedName name="_30__123Graph_DCHART_5" hidden="1">#REF!</definedName>
    <definedName name="_31__123Graph_DCHART_2" hidden="1">[1]PG_Absoluto!$Q$48:$W$48</definedName>
    <definedName name="_31__123Graph_DCHART_6" localSheetId="6" hidden="1">#REF!</definedName>
    <definedName name="_31__123Graph_DCHART_6" localSheetId="5" hidden="1">#REF!</definedName>
    <definedName name="_31__123Graph_DCHART_6" hidden="1">#REF!</definedName>
    <definedName name="_32__123Graph_DCHART_3" hidden="1">[1]PG_Absoluto!$Q$82:$W$82</definedName>
    <definedName name="_32__123Graph_DCHART_7" localSheetId="6" hidden="1">#REF!</definedName>
    <definedName name="_32__123Graph_DCHART_7" localSheetId="5" hidden="1">#REF!</definedName>
    <definedName name="_32__123Graph_DCHART_7" hidden="1">#REF!</definedName>
    <definedName name="_33__123Graph_DCHART_4" hidden="1">[1]PG_Absoluto!$Q$117:$W$117</definedName>
    <definedName name="_33__123Graph_DCHART_8" localSheetId="6" hidden="1">#REF!</definedName>
    <definedName name="_33__123Graph_DCHART_8" localSheetId="5" hidden="1">#REF!</definedName>
    <definedName name="_33__123Graph_DCHART_8" hidden="1">#REF!</definedName>
    <definedName name="_34__123Graph_DCHART_5" localSheetId="6" hidden="1">#REF!</definedName>
    <definedName name="_34__123Graph_DCHART_5" localSheetId="5" hidden="1">#REF!</definedName>
    <definedName name="_34__123Graph_DCHART_5" hidden="1">#REF!</definedName>
    <definedName name="_34__123Graph_XCHART_1" hidden="1">[1]PG_Absoluto!$Q$9:$W$9</definedName>
    <definedName name="_35__123Graph_DCHART_6" localSheetId="6" hidden="1">#REF!</definedName>
    <definedName name="_35__123Graph_DCHART_6" localSheetId="5" hidden="1">#REF!</definedName>
    <definedName name="_35__123Graph_DCHART_6" hidden="1">#REF!</definedName>
    <definedName name="_35__123Graph_XCHART_2" hidden="1">[1]PG_Absoluto!$Q$43:$W$43</definedName>
    <definedName name="_36__123Graph_DCHART_7" localSheetId="6" hidden="1">#REF!</definedName>
    <definedName name="_36__123Graph_DCHART_7" localSheetId="5" hidden="1">#REF!</definedName>
    <definedName name="_36__123Graph_DCHART_7" hidden="1">#REF!</definedName>
    <definedName name="_36__123Graph_XCHART_3" hidden="1">[1]PG_Absoluto!$Q$77:$W$77</definedName>
    <definedName name="_37__123Graph_DCHART_8" localSheetId="6" hidden="1">#REF!</definedName>
    <definedName name="_37__123Graph_DCHART_8" localSheetId="5" hidden="1">#REF!</definedName>
    <definedName name="_37__123Graph_DCHART_8" hidden="1">#REF!</definedName>
    <definedName name="_37__123Graph_XCHART_4" hidden="1">[1]PG_Absoluto!$Q$112:$W$112</definedName>
    <definedName name="_38__123Graph_XCHART_1" hidden="1">[1]PG_Absoluto!$Q$9:$W$9</definedName>
    <definedName name="_38__123Graph_XCHART_6" localSheetId="6" hidden="1">#REF!</definedName>
    <definedName name="_38__123Graph_XCHART_6" localSheetId="5" hidden="1">#REF!</definedName>
    <definedName name="_38__123Graph_XCHART_6" hidden="1">#REF!</definedName>
    <definedName name="_39__123Graph_XCHART_2" hidden="1">[1]PG_Absoluto!$Q$43:$W$43</definedName>
    <definedName name="_39__123Graph_XCHART_7" localSheetId="6" hidden="1">#REF!</definedName>
    <definedName name="_39__123Graph_XCHART_7" localSheetId="5" hidden="1">#REF!</definedName>
    <definedName name="_39__123Graph_XCHART_7" hidden="1">#REF!</definedName>
    <definedName name="_4__123Graph_ACHART_4" hidden="1">[1]PG_Absoluto!$Q$114:$W$114</definedName>
    <definedName name="_40__123Graph_XCHART_3" hidden="1">[1]PG_Absoluto!$Q$77:$W$77</definedName>
    <definedName name="_40__123Graph_XCHART_8" localSheetId="6" hidden="1">#REF!</definedName>
    <definedName name="_40__123Graph_XCHART_8" localSheetId="5" hidden="1">#REF!</definedName>
    <definedName name="_40__123Graph_XCHART_8" hidden="1">#REF!</definedName>
    <definedName name="_41__123Graph_XCHART_4" hidden="1">[1]PG_Absoluto!$Q$112:$W$112</definedName>
    <definedName name="_41__123Graph_XOPER_2" localSheetId="6" hidden="1">[7]Q2_2!#REF!</definedName>
    <definedName name="_41__123Graph_XOPER_2" localSheetId="5" hidden="1">[7]Q2_2!#REF!</definedName>
    <definedName name="_41__123Graph_XOPER_2" hidden="1">[7]Q2_2!#REF!</definedName>
    <definedName name="_42__123Graph_XCHART_6" localSheetId="6" hidden="1">#REF!</definedName>
    <definedName name="_42__123Graph_XCHART_6" localSheetId="5" hidden="1">#REF!</definedName>
    <definedName name="_42__123Graph_XCHART_6" hidden="1">#REF!</definedName>
    <definedName name="_43__123Graph_XCHART_7" localSheetId="6" hidden="1">#REF!</definedName>
    <definedName name="_43__123Graph_XCHART_7" localSheetId="5" hidden="1">#REF!</definedName>
    <definedName name="_43__123Graph_XCHART_7" hidden="1">#REF!</definedName>
    <definedName name="_44__123Graph_XCHART_8" localSheetId="6" hidden="1">#REF!</definedName>
    <definedName name="_44__123Graph_XCHART_8" localSheetId="5" hidden="1">#REF!</definedName>
    <definedName name="_44__123Graph_XCHART_8" hidden="1">#REF!</definedName>
    <definedName name="_49__123Graph_XOPER_2" localSheetId="6" hidden="1">[4]Q2_2!#REF!</definedName>
    <definedName name="_49__123Graph_XOPER_2" localSheetId="5" hidden="1">[4]Q2_2!#REF!</definedName>
    <definedName name="_49__123Graph_XOPER_2" hidden="1">[4]Q2_2!#REF!</definedName>
    <definedName name="_5__123Graph_ACHART_5" localSheetId="6" hidden="1">#REF!</definedName>
    <definedName name="_5__123Graph_ACHART_5" localSheetId="5" hidden="1">#REF!</definedName>
    <definedName name="_5__123Graph_ACHART_5" hidden="1">#REF!</definedName>
    <definedName name="_6__123Graph_ACHART_6" localSheetId="6" hidden="1">#REF!</definedName>
    <definedName name="_6__123Graph_ACHART_6" localSheetId="5" hidden="1">#REF!</definedName>
    <definedName name="_6__123Graph_ACHART_6" hidden="1">#REF!</definedName>
    <definedName name="_7__123Graph_ACHART_7" localSheetId="6" hidden="1">#REF!</definedName>
    <definedName name="_7__123Graph_ACHART_7" localSheetId="5" hidden="1">#REF!</definedName>
    <definedName name="_7__123Graph_ACHART_7" hidden="1">#REF!</definedName>
    <definedName name="_8__123Graph_ACHART_8" localSheetId="6" hidden="1">#REF!</definedName>
    <definedName name="_8__123Graph_ACHART_8" localSheetId="5" hidden="1">#REF!</definedName>
    <definedName name="_8__123Graph_ACHART_8" hidden="1">#REF!</definedName>
    <definedName name="_9__123Graph_AOPER_2" localSheetId="6" hidden="1">[7]Q2_2!#REF!</definedName>
    <definedName name="_9__123Graph_AOPER_2" localSheetId="5" hidden="1">[7]Q2_2!#REF!</definedName>
    <definedName name="_9__123Graph_AOPER_2" hidden="1">[7]Q2_2!#REF!</definedName>
    <definedName name="_Key1" localSheetId="6" hidden="1">#REF!</definedName>
    <definedName name="_Key1" localSheetId="5" hidden="1">#REF!</definedName>
    <definedName name="_Key1" hidden="1">#REF!</definedName>
    <definedName name="_Key2" localSheetId="6" hidden="1">#REF!</definedName>
    <definedName name="_Key2" localSheetId="5" hidden="1">#REF!</definedName>
    <definedName name="_Key2" hidden="1">#REF!</definedName>
    <definedName name="_Order1" hidden="1">255</definedName>
    <definedName name="_Order2" hidden="1">255</definedName>
    <definedName name="_Regression_Int" hidden="1">1</definedName>
    <definedName name="_Regression_X" hidden="1">[8]MENSAL!$BG$176</definedName>
    <definedName name="_Regression_Y" localSheetId="6" hidden="1">#REF!</definedName>
    <definedName name="_Regression_Y" localSheetId="5" hidden="1">#REF!</definedName>
    <definedName name="_Regression_Y" hidden="1">#REF!</definedName>
    <definedName name="_Sort" localSheetId="6" hidden="1">#REF!</definedName>
    <definedName name="_Sort" localSheetId="5" hidden="1">#REF!</definedName>
    <definedName name="_Sort" hidden="1">#REF!</definedName>
    <definedName name="aa" hidden="1">{"'Quadro'!$A$4:$BG$78"}</definedName>
    <definedName name="aaa" hidden="1">{"'RR'!$A$2:$E$81"}</definedName>
    <definedName name="AccessDatabase" hidden="1">"C:\Doc\clientes\Unitech\Sig.xls"</definedName>
    <definedName name="asfdqf" localSheetId="6" hidden="1">#REF!</definedName>
    <definedName name="asfdqf" localSheetId="5" hidden="1">#REF!</definedName>
    <definedName name="asfdqf" hidden="1">#REF!</definedName>
    <definedName name="BANCO1" localSheetId="6" hidden="1">#REF!</definedName>
    <definedName name="BANCO1" localSheetId="5" hidden="1">#REF!</definedName>
    <definedName name="BANCO1" hidden="1">#REF!</definedName>
    <definedName name="BBB" hidden="1">{"'Quadro'!$A$4:$BG$78"}</definedName>
    <definedName name="cdvdf" localSheetId="6" hidden="1">#REF!</definedName>
    <definedName name="cdvdf" localSheetId="5" hidden="1">#REF!</definedName>
    <definedName name="cdvdf" hidden="1">#REF!</definedName>
    <definedName name="d" hidden="1">{"'Quadro'!$A$4:$BG$78"}</definedName>
    <definedName name="DDSS" hidden="1">{"'Quadro'!$A$4:$BG$78"}</definedName>
    <definedName name="Despesas" hidden="1">{"'RR'!$A$2:$E$81"}</definedName>
    <definedName name="f" hidden="1">'[9]  '!$Q$9:$W$9</definedName>
    <definedName name="fad" hidden="1">{"'RR'!$A$2:$E$81"}</definedName>
    <definedName name="HTML_CodePage" hidden="1">1252</definedName>
    <definedName name="HTML_Control" hidden="1">{"'RR'!$A$2:$E$81"}</definedName>
    <definedName name="HTML_Control1" hidden="1">{"'RR'!$A$2:$E$81"}</definedName>
    <definedName name="HTML_Description" hidden="1">""</definedName>
    <definedName name="HTML_Email" hidden="1">""</definedName>
    <definedName name="HTML_Header" hidden="1">"RR"</definedName>
    <definedName name="HTML_LastUpdate" hidden="1">"11/10/99"</definedName>
    <definedName name="HTML_LineAfter" hidden="1">FALSE</definedName>
    <definedName name="HTML_LineBefore" hidden="1">FALSE</definedName>
    <definedName name="HTML_Name" hidden="1">"Departamento de Informática"</definedName>
    <definedName name="HTML_OBDlg2" hidden="1">TRUE</definedName>
    <definedName name="HTML_OBDlg4" hidden="1">TRUE</definedName>
    <definedName name="HTML_OS" hidden="1">0</definedName>
    <definedName name="HTML_PathFile" hidden="1">"C:\Intranet\Todos os Indicadores\MeuHTML.htm"</definedName>
    <definedName name="HTML_Title" hidden="1">"Regional 4 SET99"</definedName>
    <definedName name="PERDAS" hidden="1">{"'Quadro'!$A$4:$BG$78"}</definedName>
    <definedName name="sa" localSheetId="6" hidden="1">#REF!</definedName>
    <definedName name="sa" localSheetId="5" hidden="1">#REF!</definedName>
    <definedName name="sa" hidden="1">#REF!</definedName>
    <definedName name="SegmentaçãodeDados_BASE">#N/A</definedName>
    <definedName name="SegmentaçãodeDados_BASE1">#N/A</definedName>
    <definedName name="SegmentaçãodeDados_MÊS">#N/A</definedName>
    <definedName name="SegmentaçãodeDados_MÊS1">#N/A</definedName>
    <definedName name="SegmentaçãodeDados_PROCESSO">#N/A</definedName>
    <definedName name="SegmentaçãodeDados_PROCESSO1">#N/A</definedName>
    <definedName name="SegmentaçãodeDados_TIPO">#N/A</definedName>
    <definedName name="SegmentaçãodeDados_TIPO1">#N/A</definedName>
    <definedName name="ss" hidden="1">{"'RR'!$A$2:$E$81"}</definedName>
    <definedName name="teste" localSheetId="6" hidden="1">[10]Mercado!#REF!</definedName>
    <definedName name="teste" localSheetId="5" hidden="1">[10]Mercado!#REF!</definedName>
    <definedName name="teste" hidden="1">[10]Mercado!#REF!</definedName>
    <definedName name="teste2" localSheetId="6" hidden="1">[10]Mercado!#REF!</definedName>
    <definedName name="teste2" localSheetId="5" hidden="1">[10]Mercado!#REF!</definedName>
    <definedName name="teste2" hidden="1">[10]Mercado!#REF!</definedName>
    <definedName name="UU" hidden="1">{"'Quadro'!$A$4:$BG$78"}</definedName>
  </definedNames>
  <calcPr calcId="191029"/>
  <pivotCaches>
    <pivotCache cacheId="0" r:id="rId20"/>
    <pivotCache cacheId="1"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0" i="1" l="1"/>
  <c r="B141" i="1"/>
  <c r="AP141" i="1"/>
  <c r="AN141" i="1"/>
  <c r="AQ141" i="1" s="1"/>
  <c r="AM141" i="1"/>
  <c r="AJ141" i="1"/>
  <c r="AL141" i="1" s="1"/>
  <c r="AG141" i="1"/>
  <c r="AF141" i="1"/>
  <c r="AC141" i="1"/>
  <c r="AB141" i="1"/>
  <c r="AA141" i="1"/>
  <c r="Y141" i="1"/>
  <c r="Z141" i="1" s="1"/>
  <c r="X141" i="1"/>
  <c r="U141" i="1"/>
  <c r="T141" i="1"/>
  <c r="F141" i="1"/>
  <c r="D141" i="1"/>
  <c r="AN140" i="1"/>
  <c r="AM140" i="1"/>
  <c r="AL140" i="1"/>
  <c r="AJ140" i="1"/>
  <c r="AG140" i="1"/>
  <c r="AF140" i="1"/>
  <c r="AC140" i="1"/>
  <c r="AB140" i="1"/>
  <c r="Y140" i="1"/>
  <c r="X140" i="1"/>
  <c r="V140" i="1"/>
  <c r="U140" i="1"/>
  <c r="W140" i="1" s="1"/>
  <c r="T140" i="1"/>
  <c r="F140" i="1"/>
  <c r="D140" i="1"/>
  <c r="B138" i="1"/>
  <c r="B139" i="1"/>
  <c r="F138" i="1"/>
  <c r="F139" i="1"/>
  <c r="D138" i="1"/>
  <c r="D139" i="1"/>
  <c r="AO92" i="1"/>
  <c r="AK92" i="1"/>
  <c r="AG92" i="1"/>
  <c r="AC92" i="1"/>
  <c r="Y92" i="1"/>
  <c r="U92" i="1"/>
  <c r="B92" i="1"/>
  <c r="D92" i="1"/>
  <c r="F92" i="1"/>
  <c r="T92" i="1"/>
  <c r="V92" i="1"/>
  <c r="W92" i="1"/>
  <c r="X92" i="1"/>
  <c r="Z92" i="1"/>
  <c r="AA92" i="1"/>
  <c r="AB92" i="1"/>
  <c r="AD92" i="1"/>
  <c r="AE92" i="1"/>
  <c r="AF92" i="1"/>
  <c r="AH92" i="1"/>
  <c r="AI92" i="1"/>
  <c r="AJ92" i="1"/>
  <c r="AL92" i="1"/>
  <c r="AM92" i="1"/>
  <c r="AN92" i="1"/>
  <c r="AQ92" i="1" s="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0"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B127" i="1"/>
  <c r="B128" i="1"/>
  <c r="B129" i="1"/>
  <c r="B130" i="1"/>
  <c r="B131" i="1"/>
  <c r="B132" i="1"/>
  <c r="B133" i="1"/>
  <c r="B134" i="1"/>
  <c r="B135" i="1"/>
  <c r="B136" i="1"/>
  <c r="B137" i="1"/>
  <c r="B126" i="1"/>
  <c r="T124" i="1"/>
  <c r="U124" i="1"/>
  <c r="X124" i="1"/>
  <c r="Y124" i="1"/>
  <c r="AB124" i="1"/>
  <c r="AC124" i="1"/>
  <c r="AF124" i="1"/>
  <c r="AI124" i="1" s="1"/>
  <c r="AH124" i="1"/>
  <c r="AJ124" i="1"/>
  <c r="AL124" i="1"/>
  <c r="AM124" i="1"/>
  <c r="AN124" i="1"/>
  <c r="AP124" i="1" s="1"/>
  <c r="AQ124" i="1"/>
  <c r="T125" i="1"/>
  <c r="U125" i="1"/>
  <c r="X125" i="1"/>
  <c r="Y125" i="1"/>
  <c r="Z125" i="1"/>
  <c r="AA125" i="1"/>
  <c r="AB125" i="1"/>
  <c r="AC125" i="1"/>
  <c r="AF125" i="1"/>
  <c r="AH125" i="1"/>
  <c r="AI125" i="1"/>
  <c r="AJ125" i="1"/>
  <c r="AN125" i="1"/>
  <c r="AP125" i="1"/>
  <c r="AQ125" i="1"/>
  <c r="T126" i="1"/>
  <c r="U126" i="1"/>
  <c r="W126" i="1" s="1"/>
  <c r="X126" i="1"/>
  <c r="Y126" i="1"/>
  <c r="AB126" i="1"/>
  <c r="AC126" i="1"/>
  <c r="AD126" i="1"/>
  <c r="AE126" i="1"/>
  <c r="AF126" i="1"/>
  <c r="AH126" i="1"/>
  <c r="AI126" i="1"/>
  <c r="AJ126" i="1"/>
  <c r="AL126" i="1"/>
  <c r="AM126" i="1"/>
  <c r="AN126" i="1"/>
  <c r="AP126" i="1"/>
  <c r="AQ126" i="1"/>
  <c r="T127" i="1"/>
  <c r="U127" i="1"/>
  <c r="V127" i="1" s="1"/>
  <c r="X127" i="1"/>
  <c r="Y127" i="1"/>
  <c r="AB127" i="1"/>
  <c r="AC127" i="1"/>
  <c r="AF127" i="1"/>
  <c r="AJ127" i="1"/>
  <c r="AL127" i="1"/>
  <c r="AM127" i="1"/>
  <c r="AN127" i="1"/>
  <c r="AP127" i="1" s="1"/>
  <c r="T128" i="1"/>
  <c r="U128" i="1"/>
  <c r="V128" i="1" s="1"/>
  <c r="X128" i="1"/>
  <c r="Y128" i="1"/>
  <c r="Z128" i="1"/>
  <c r="AA128" i="1"/>
  <c r="AB128" i="1"/>
  <c r="AC128" i="1"/>
  <c r="AF128" i="1"/>
  <c r="AH128" i="1"/>
  <c r="AI128" i="1"/>
  <c r="AJ128" i="1"/>
  <c r="AL128" i="1" s="1"/>
  <c r="AN128" i="1"/>
  <c r="AP128" i="1"/>
  <c r="AQ128" i="1"/>
  <c r="B125" i="1"/>
  <c r="B124" i="1"/>
  <c r="B123" i="1"/>
  <c r="AN123" i="1"/>
  <c r="AQ123" i="1" s="1"/>
  <c r="AJ123" i="1"/>
  <c r="AM123" i="1" s="1"/>
  <c r="AF123" i="1"/>
  <c r="AI123" i="1" s="1"/>
  <c r="AC123" i="1"/>
  <c r="AB123" i="1"/>
  <c r="Y123" i="1"/>
  <c r="X123" i="1"/>
  <c r="U123" i="1"/>
  <c r="T123" i="1"/>
  <c r="B120" i="1"/>
  <c r="B121" i="1"/>
  <c r="B122" i="1"/>
  <c r="AN122" i="1"/>
  <c r="AQ122" i="1" s="1"/>
  <c r="AJ122" i="1"/>
  <c r="AM122" i="1" s="1"/>
  <c r="AF122" i="1"/>
  <c r="AI122" i="1" s="1"/>
  <c r="AC122" i="1"/>
  <c r="AB122" i="1"/>
  <c r="Y122" i="1"/>
  <c r="X122" i="1"/>
  <c r="U122" i="1"/>
  <c r="T122" i="1"/>
  <c r="AN121" i="1"/>
  <c r="AQ121" i="1" s="1"/>
  <c r="AJ121" i="1"/>
  <c r="AM121" i="1" s="1"/>
  <c r="AG121" i="1"/>
  <c r="AF121" i="1"/>
  <c r="AC121" i="1"/>
  <c r="AB121" i="1"/>
  <c r="Y121" i="1"/>
  <c r="X121" i="1"/>
  <c r="U121" i="1"/>
  <c r="T121" i="1"/>
  <c r="AN120" i="1"/>
  <c r="AQ120" i="1" s="1"/>
  <c r="AJ120" i="1"/>
  <c r="AM120" i="1" s="1"/>
  <c r="AF120" i="1"/>
  <c r="AI120" i="1" s="1"/>
  <c r="AC120" i="1"/>
  <c r="AB120" i="1"/>
  <c r="Y120" i="1"/>
  <c r="X120" i="1"/>
  <c r="U120" i="1"/>
  <c r="T120" i="1"/>
  <c r="AH141" i="1" l="1"/>
  <c r="AI141" i="1"/>
  <c r="AE141" i="1"/>
  <c r="AD141" i="1"/>
  <c r="V141" i="1"/>
  <c r="W141" i="1"/>
  <c r="AQ140" i="1"/>
  <c r="AP140" i="1"/>
  <c r="AH140" i="1"/>
  <c r="AI140" i="1"/>
  <c r="AE140" i="1"/>
  <c r="AD140" i="1"/>
  <c r="AA140" i="1"/>
  <c r="Z140" i="1"/>
  <c r="AD128" i="1"/>
  <c r="AE128" i="1"/>
  <c r="AA127" i="1"/>
  <c r="Z127" i="1"/>
  <c r="AP92" i="1"/>
  <c r="Z124" i="1"/>
  <c r="AA126" i="1"/>
  <c r="Z126" i="1"/>
  <c r="AH127" i="1"/>
  <c r="AI127" i="1"/>
  <c r="AM125" i="1"/>
  <c r="AL125" i="1"/>
  <c r="V126" i="1"/>
  <c r="W124" i="1"/>
  <c r="V124" i="1"/>
  <c r="AA121" i="1"/>
  <c r="W123" i="1"/>
  <c r="AD127" i="1"/>
  <c r="AE127" i="1"/>
  <c r="AD124" i="1"/>
  <c r="AE124" i="1"/>
  <c r="AE125" i="1"/>
  <c r="AD125" i="1"/>
  <c r="AL120" i="1"/>
  <c r="W122" i="1"/>
  <c r="AA123" i="1"/>
  <c r="AA122" i="1"/>
  <c r="AE123" i="1"/>
  <c r="W121" i="1"/>
  <c r="AE122" i="1"/>
  <c r="Z121" i="1"/>
  <c r="V125" i="1"/>
  <c r="W120" i="1"/>
  <c r="AL122" i="1"/>
  <c r="AA120" i="1"/>
  <c r="AD121" i="1"/>
  <c r="AE121" i="1"/>
  <c r="AD120" i="1"/>
  <c r="AE120" i="1"/>
  <c r="AH121" i="1"/>
  <c r="AM128" i="1"/>
  <c r="AQ127" i="1"/>
  <c r="W127" i="1"/>
  <c r="W125" i="1"/>
  <c r="W128" i="1"/>
  <c r="AA124" i="1"/>
  <c r="Z123" i="1"/>
  <c r="AD123" i="1"/>
  <c r="AH123" i="1"/>
  <c r="AL123" i="1"/>
  <c r="V123" i="1"/>
  <c r="AP123" i="1"/>
  <c r="Z122" i="1"/>
  <c r="V120" i="1"/>
  <c r="AP120" i="1"/>
  <c r="AI121" i="1"/>
  <c r="AD122" i="1"/>
  <c r="Z120" i="1"/>
  <c r="AL121" i="1"/>
  <c r="V121" i="1"/>
  <c r="AH122" i="1"/>
  <c r="AP121" i="1"/>
  <c r="AH120" i="1"/>
  <c r="V122" i="1"/>
  <c r="AP122" i="1"/>
  <c r="B116" i="1" l="1"/>
  <c r="B117" i="1"/>
  <c r="B118" i="1"/>
  <c r="B119" i="1"/>
  <c r="AN119" i="1"/>
  <c r="AQ119" i="1" s="1"/>
  <c r="AJ119" i="1"/>
  <c r="AM119" i="1" s="1"/>
  <c r="AF119" i="1"/>
  <c r="AH119" i="1" s="1"/>
  <c r="AC119" i="1"/>
  <c r="AB119" i="1"/>
  <c r="Y119" i="1"/>
  <c r="X119" i="1"/>
  <c r="U119" i="1"/>
  <c r="T119" i="1"/>
  <c r="AN118" i="1"/>
  <c r="AP118" i="1" s="1"/>
  <c r="AJ118" i="1"/>
  <c r="AM118" i="1" s="1"/>
  <c r="AF118" i="1"/>
  <c r="AH118" i="1" s="1"/>
  <c r="AC118" i="1"/>
  <c r="AB118" i="1"/>
  <c r="Y118" i="1"/>
  <c r="X118" i="1"/>
  <c r="U118" i="1"/>
  <c r="T118" i="1"/>
  <c r="AN117" i="1"/>
  <c r="AQ117" i="1" s="1"/>
  <c r="AJ117" i="1"/>
  <c r="AL117" i="1" s="1"/>
  <c r="AF117" i="1"/>
  <c r="AH117" i="1" s="1"/>
  <c r="AC117" i="1"/>
  <c r="AB117" i="1"/>
  <c r="Y117" i="1"/>
  <c r="X117" i="1"/>
  <c r="U117" i="1"/>
  <c r="T117" i="1"/>
  <c r="AN116" i="1"/>
  <c r="AQ116" i="1" s="1"/>
  <c r="AJ116" i="1"/>
  <c r="AM116" i="1" s="1"/>
  <c r="AF116" i="1"/>
  <c r="AI116" i="1" s="1"/>
  <c r="AC116" i="1"/>
  <c r="AB116" i="1"/>
  <c r="Y116" i="1"/>
  <c r="X116" i="1"/>
  <c r="U116" i="1"/>
  <c r="T116" i="1"/>
  <c r="V118" i="1" l="1"/>
  <c r="AI118" i="1"/>
  <c r="AA117" i="1"/>
  <c r="V116" i="1"/>
  <c r="AA119" i="1"/>
  <c r="AP117" i="1"/>
  <c r="AE119" i="1"/>
  <c r="AA118" i="1"/>
  <c r="V117" i="1"/>
  <c r="AE118" i="1"/>
  <c r="W117" i="1"/>
  <c r="AE117" i="1"/>
  <c r="W119" i="1"/>
  <c r="AA116" i="1"/>
  <c r="AE116" i="1"/>
  <c r="AL118" i="1"/>
  <c r="Z117" i="1"/>
  <c r="AH116" i="1"/>
  <c r="W118" i="1"/>
  <c r="AI119" i="1"/>
  <c r="AQ118" i="1"/>
  <c r="AL119" i="1"/>
  <c r="AL116" i="1"/>
  <c r="Z118" i="1"/>
  <c r="V119" i="1"/>
  <c r="AP119" i="1"/>
  <c r="W116" i="1"/>
  <c r="AI117" i="1"/>
  <c r="AM117" i="1"/>
  <c r="AD119" i="1"/>
  <c r="AD116" i="1"/>
  <c r="AD117" i="1"/>
  <c r="AP116" i="1"/>
  <c r="AD118" i="1"/>
  <c r="Z119" i="1"/>
  <c r="Z116" i="1"/>
  <c r="B114" i="1" l="1"/>
  <c r="B115" i="1"/>
  <c r="B113" i="1"/>
  <c r="AN114" i="1"/>
  <c r="AQ114" i="1" s="1"/>
  <c r="AJ114" i="1"/>
  <c r="AL114" i="1" s="1"/>
  <c r="AF114" i="1"/>
  <c r="AI114" i="1" s="1"/>
  <c r="AC114" i="1"/>
  <c r="AB114" i="1"/>
  <c r="Y114" i="1"/>
  <c r="X114" i="1"/>
  <c r="U114" i="1"/>
  <c r="T114" i="1"/>
  <c r="AN113" i="1"/>
  <c r="AQ113" i="1" s="1"/>
  <c r="AJ113" i="1"/>
  <c r="AM113" i="1" s="1"/>
  <c r="AF113" i="1"/>
  <c r="AH113" i="1" s="1"/>
  <c r="AC113" i="1"/>
  <c r="AB113" i="1"/>
  <c r="Y113" i="1"/>
  <c r="X113" i="1"/>
  <c r="U113" i="1"/>
  <c r="T113" i="1"/>
  <c r="B112" i="1"/>
  <c r="B111" i="1"/>
  <c r="B110" i="1"/>
  <c r="B105" i="1"/>
  <c r="B106" i="1"/>
  <c r="B107" i="1"/>
  <c r="B108" i="1"/>
  <c r="B109" i="1"/>
  <c r="G52" i="10"/>
  <c r="G51" i="10"/>
  <c r="G50" i="10"/>
  <c r="B100" i="1"/>
  <c r="B101" i="1"/>
  <c r="B102" i="1"/>
  <c r="B103" i="1"/>
  <c r="B104" i="1"/>
  <c r="C25" i="10"/>
  <c r="C24" i="10"/>
  <c r="C23" i="10"/>
  <c r="C22" i="10"/>
  <c r="C21" i="10"/>
  <c r="C20" i="10"/>
  <c r="C19" i="10"/>
  <c r="C18" i="10"/>
  <c r="C17" i="10"/>
  <c r="C16" i="10"/>
  <c r="C15" i="10"/>
  <c r="C14" i="10"/>
  <c r="C13" i="10"/>
  <c r="C12" i="10"/>
  <c r="C11" i="10"/>
  <c r="C10" i="10"/>
  <c r="C9" i="10"/>
  <c r="C8" i="10"/>
  <c r="C7" i="10"/>
  <c r="C6" i="10"/>
  <c r="C5" i="10"/>
  <c r="C4" i="10"/>
  <c r="C3" i="10"/>
  <c r="C2" i="10"/>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3" i="1"/>
  <c r="B94" i="1"/>
  <c r="B95" i="1"/>
  <c r="B96" i="1"/>
  <c r="B97" i="1"/>
  <c r="B98" i="1"/>
  <c r="B99" i="1"/>
  <c r="C38" i="10"/>
  <c r="C39" i="10"/>
  <c r="C40" i="10"/>
  <c r="C41" i="10"/>
  <c r="C42" i="10"/>
  <c r="C43" i="10"/>
  <c r="C44" i="10"/>
  <c r="C45" i="10"/>
  <c r="C46" i="10"/>
  <c r="C47" i="10"/>
  <c r="C48" i="10"/>
  <c r="C49" i="10"/>
  <c r="C50" i="10"/>
  <c r="C51" i="10"/>
  <c r="C52" i="10"/>
  <c r="C53" i="10"/>
  <c r="C54" i="10"/>
  <c r="C55" i="10"/>
  <c r="C56" i="10"/>
  <c r="C57" i="10"/>
  <c r="C58" i="10"/>
  <c r="C59" i="10"/>
  <c r="C60" i="10"/>
  <c r="C61" i="10"/>
  <c r="AI113" i="1" l="1"/>
  <c r="AM114" i="1"/>
  <c r="W113" i="1"/>
  <c r="Z113" i="1"/>
  <c r="W114" i="1"/>
  <c r="AP114" i="1"/>
  <c r="AA114" i="1"/>
  <c r="AE114" i="1"/>
  <c r="AD114" i="1"/>
  <c r="AE113" i="1"/>
  <c r="AD113" i="1"/>
  <c r="Z114" i="1"/>
  <c r="AL113" i="1"/>
  <c r="V113" i="1"/>
  <c r="AH114" i="1"/>
  <c r="AP113" i="1"/>
  <c r="AA113" i="1"/>
  <c r="V114" i="1"/>
  <c r="C26" i="10"/>
  <c r="C27" i="10"/>
  <c r="C28" i="10"/>
  <c r="C29" i="10"/>
  <c r="C30" i="10"/>
  <c r="C31" i="10"/>
  <c r="C32" i="10"/>
  <c r="C33" i="10"/>
  <c r="C34" i="10"/>
  <c r="C35" i="10"/>
  <c r="C36" i="10"/>
  <c r="C37" i="10"/>
  <c r="AO99" i="1" l="1"/>
  <c r="AO98" i="1"/>
  <c r="AK99" i="1"/>
  <c r="AK98" i="1"/>
  <c r="AG99" i="1"/>
  <c r="AG98" i="1"/>
  <c r="AC99" i="1"/>
  <c r="Y99" i="1"/>
  <c r="U99" i="1"/>
  <c r="T99" i="1"/>
  <c r="X99" i="1"/>
  <c r="AB99" i="1"/>
  <c r="AF99" i="1"/>
  <c r="AJ99" i="1"/>
  <c r="AN99" i="1"/>
  <c r="AO96" i="1"/>
  <c r="AK96" i="1"/>
  <c r="AO97" i="1"/>
  <c r="AK97" i="1"/>
  <c r="AG97" i="1"/>
  <c r="AC98" i="1"/>
  <c r="Y98" i="1"/>
  <c r="U98" i="1"/>
  <c r="T98" i="1"/>
  <c r="X98" i="1"/>
  <c r="AB98" i="1"/>
  <c r="AF98" i="1"/>
  <c r="AJ98" i="1"/>
  <c r="AN98" i="1"/>
  <c r="AO95" i="1"/>
  <c r="AK95" i="1"/>
  <c r="AG95" i="1"/>
  <c r="AC97" i="1"/>
  <c r="Y97" i="1"/>
  <c r="U97" i="1"/>
  <c r="T97" i="1"/>
  <c r="X97" i="1"/>
  <c r="AB97" i="1"/>
  <c r="AF97" i="1"/>
  <c r="AJ97" i="1"/>
  <c r="AN97" i="1"/>
  <c r="AG96" i="1"/>
  <c r="AC96" i="1"/>
  <c r="Y96" i="1"/>
  <c r="U96" i="1"/>
  <c r="T96" i="1"/>
  <c r="X96" i="1"/>
  <c r="AB96" i="1"/>
  <c r="AF96" i="1"/>
  <c r="AJ96" i="1"/>
  <c r="AN96" i="1"/>
  <c r="AO94" i="1"/>
  <c r="AK94" i="1"/>
  <c r="AO93" i="1"/>
  <c r="AK93" i="1"/>
  <c r="AG93" i="1"/>
  <c r="AC95" i="1"/>
  <c r="Y95" i="1"/>
  <c r="U95" i="1"/>
  <c r="T95" i="1"/>
  <c r="X95" i="1"/>
  <c r="AB95" i="1"/>
  <c r="AF95" i="1"/>
  <c r="AJ95" i="1"/>
  <c r="AN95" i="1"/>
  <c r="AG94" i="1"/>
  <c r="AC94" i="1"/>
  <c r="Y94" i="1"/>
  <c r="U94" i="1"/>
  <c r="T94" i="1"/>
  <c r="X94" i="1"/>
  <c r="AB94" i="1"/>
  <c r="AF94" i="1"/>
  <c r="AJ94" i="1"/>
  <c r="AN94" i="1"/>
  <c r="AC93" i="1"/>
  <c r="Y93" i="1"/>
  <c r="U93" i="1"/>
  <c r="T93" i="1"/>
  <c r="X93" i="1"/>
  <c r="AB93" i="1"/>
  <c r="AF93" i="1"/>
  <c r="AJ93" i="1"/>
  <c r="AN93" i="1"/>
  <c r="AO90" i="1"/>
  <c r="AO91" i="1"/>
  <c r="AK91" i="1"/>
  <c r="AK90" i="1"/>
  <c r="AG91" i="1"/>
  <c r="AC91" i="1"/>
  <c r="Y91" i="1"/>
  <c r="U91" i="1"/>
  <c r="T91" i="1"/>
  <c r="X91" i="1"/>
  <c r="AB91" i="1"/>
  <c r="AF91" i="1"/>
  <c r="AJ91" i="1"/>
  <c r="AN91" i="1"/>
  <c r="AO89" i="1"/>
  <c r="AK89" i="1"/>
  <c r="AN90" i="1"/>
  <c r="AG90" i="1"/>
  <c r="AC90" i="1"/>
  <c r="Y90" i="1"/>
  <c r="U90" i="1"/>
  <c r="T90" i="1"/>
  <c r="X90" i="1"/>
  <c r="AB90" i="1"/>
  <c r="AF90" i="1"/>
  <c r="AJ90" i="1"/>
  <c r="AO87" i="1"/>
  <c r="AO86" i="1"/>
  <c r="AO88" i="1"/>
  <c r="AK88" i="1"/>
  <c r="AG88" i="1"/>
  <c r="AG89" i="1"/>
  <c r="AC89" i="1"/>
  <c r="Y89" i="1"/>
  <c r="U89" i="1"/>
  <c r="T89" i="1"/>
  <c r="X89" i="1"/>
  <c r="AB89" i="1"/>
  <c r="AF89" i="1"/>
  <c r="AJ89" i="1"/>
  <c r="AN89" i="1"/>
  <c r="AN88" i="1"/>
  <c r="AJ88" i="1"/>
  <c r="AF88" i="1"/>
  <c r="AC88" i="1"/>
  <c r="AB88" i="1"/>
  <c r="Y88" i="1"/>
  <c r="X88" i="1"/>
  <c r="U88" i="1"/>
  <c r="T88" i="1"/>
  <c r="AN87" i="1"/>
  <c r="AK87" i="1"/>
  <c r="AJ87" i="1"/>
  <c r="AG87" i="1"/>
  <c r="AF87" i="1"/>
  <c r="AC87" i="1"/>
  <c r="AB87" i="1"/>
  <c r="Y87" i="1"/>
  <c r="X87" i="1"/>
  <c r="U87" i="1"/>
  <c r="T87" i="1"/>
  <c r="AN86" i="1"/>
  <c r="AK86" i="1"/>
  <c r="AJ86" i="1"/>
  <c r="AG86" i="1"/>
  <c r="AF86" i="1"/>
  <c r="AC86" i="1"/>
  <c r="AB86" i="1"/>
  <c r="Y86" i="1"/>
  <c r="X86" i="1"/>
  <c r="U86" i="1"/>
  <c r="T86" i="1"/>
  <c r="AO85" i="1"/>
  <c r="AN85" i="1"/>
  <c r="AK85" i="1"/>
  <c r="AJ85" i="1"/>
  <c r="AG85" i="1"/>
  <c r="AF85" i="1"/>
  <c r="AC85" i="1"/>
  <c r="AB85" i="1"/>
  <c r="Y85" i="1"/>
  <c r="X85" i="1"/>
  <c r="U85" i="1"/>
  <c r="T85" i="1"/>
  <c r="AO84" i="1"/>
  <c r="AN84" i="1"/>
  <c r="AK84" i="1"/>
  <c r="AJ84" i="1"/>
  <c r="AG84" i="1"/>
  <c r="AF84" i="1"/>
  <c r="AC84" i="1"/>
  <c r="AB84" i="1"/>
  <c r="Y84" i="1"/>
  <c r="X84" i="1"/>
  <c r="U84" i="1"/>
  <c r="T84" i="1"/>
  <c r="AO83" i="1"/>
  <c r="AN83" i="1"/>
  <c r="AK83" i="1"/>
  <c r="AJ83" i="1"/>
  <c r="AG83" i="1"/>
  <c r="AF83" i="1"/>
  <c r="AC83" i="1"/>
  <c r="AB83" i="1"/>
  <c r="Y83" i="1"/>
  <c r="X83" i="1"/>
  <c r="U83" i="1"/>
  <c r="T83" i="1"/>
  <c r="AO82" i="1"/>
  <c r="AK82" i="1"/>
  <c r="AG82" i="1"/>
  <c r="AC82" i="1"/>
  <c r="Y82" i="1"/>
  <c r="U82" i="1"/>
  <c r="T82" i="1"/>
  <c r="X82" i="1"/>
  <c r="AB82" i="1"/>
  <c r="AF82" i="1"/>
  <c r="AJ82" i="1"/>
  <c r="AN82" i="1"/>
  <c r="AO81" i="1"/>
  <c r="AO80" i="1"/>
  <c r="AO79" i="1"/>
  <c r="AO78" i="1"/>
  <c r="AK81" i="1"/>
  <c r="AK80" i="1"/>
  <c r="AK79" i="1"/>
  <c r="AK78" i="1"/>
  <c r="AG81" i="1"/>
  <c r="AG80" i="1"/>
  <c r="AG79" i="1"/>
  <c r="AG78" i="1"/>
  <c r="AC81" i="1"/>
  <c r="Y81" i="1"/>
  <c r="U81" i="1"/>
  <c r="T81" i="1"/>
  <c r="X81" i="1"/>
  <c r="AB81" i="1"/>
  <c r="AF81" i="1"/>
  <c r="AJ81" i="1"/>
  <c r="AN81" i="1"/>
  <c r="AC80" i="1"/>
  <c r="Y80" i="1"/>
  <c r="U80" i="1"/>
  <c r="T80" i="1"/>
  <c r="X80" i="1"/>
  <c r="AB80" i="1"/>
  <c r="AF80" i="1"/>
  <c r="AJ80" i="1"/>
  <c r="AN80" i="1"/>
  <c r="AC79" i="1"/>
  <c r="Y79" i="1"/>
  <c r="U79" i="1"/>
  <c r="T79" i="1"/>
  <c r="X79" i="1"/>
  <c r="AB79" i="1"/>
  <c r="AF79" i="1"/>
  <c r="AJ79" i="1"/>
  <c r="AN79" i="1"/>
  <c r="AO77" i="1"/>
  <c r="AO76" i="1"/>
  <c r="AK77" i="1"/>
  <c r="AK76" i="1"/>
  <c r="AC78" i="1"/>
  <c r="Y78" i="1"/>
  <c r="U78" i="1"/>
  <c r="T78" i="1"/>
  <c r="X78" i="1"/>
  <c r="AB78" i="1"/>
  <c r="AF78" i="1"/>
  <c r="AJ78" i="1"/>
  <c r="AN78" i="1"/>
  <c r="AG77" i="1"/>
  <c r="AC77" i="1"/>
  <c r="Y77" i="1"/>
  <c r="U77" i="1"/>
  <c r="AG76" i="1"/>
  <c r="AC76" i="1"/>
  <c r="Y76" i="1"/>
  <c r="U76" i="1"/>
  <c r="AO75" i="1"/>
  <c r="AK75" i="1"/>
  <c r="AO74" i="1"/>
  <c r="AK74" i="1"/>
  <c r="AG74" i="1"/>
  <c r="AG75" i="1"/>
  <c r="AC75" i="1"/>
  <c r="Y75" i="1"/>
  <c r="U75" i="1"/>
  <c r="T77" i="1"/>
  <c r="X77" i="1"/>
  <c r="AB77" i="1"/>
  <c r="AF77" i="1"/>
  <c r="AJ77" i="1"/>
  <c r="AN77" i="1"/>
  <c r="T76" i="1"/>
  <c r="X76" i="1"/>
  <c r="AB76" i="1"/>
  <c r="AF76" i="1"/>
  <c r="AJ76" i="1"/>
  <c r="AN76" i="1"/>
  <c r="T75" i="1"/>
  <c r="X75" i="1"/>
  <c r="AB75" i="1"/>
  <c r="AF75" i="1"/>
  <c r="AJ75" i="1"/>
  <c r="AN75" i="1"/>
  <c r="AC74" i="1"/>
  <c r="Y74" i="1"/>
  <c r="U74" i="1"/>
  <c r="T74" i="1"/>
  <c r="X74" i="1"/>
  <c r="AB74" i="1"/>
  <c r="AF74" i="1"/>
  <c r="AJ74" i="1"/>
  <c r="AN74" i="1"/>
  <c r="AO73" i="1"/>
  <c r="AO72" i="1"/>
  <c r="AO71" i="1"/>
  <c r="AK73" i="1"/>
  <c r="AK72" i="1"/>
  <c r="AG72" i="1"/>
  <c r="AG73" i="1"/>
  <c r="AC73" i="1"/>
  <c r="Y73" i="1"/>
  <c r="U73" i="1"/>
  <c r="T73" i="1"/>
  <c r="X73" i="1"/>
  <c r="AB73" i="1"/>
  <c r="AF73" i="1"/>
  <c r="AJ73" i="1"/>
  <c r="AN73" i="1"/>
  <c r="AK71" i="1"/>
  <c r="AG71" i="1"/>
  <c r="AC72" i="1"/>
  <c r="Y72" i="1"/>
  <c r="U72" i="1"/>
  <c r="T72" i="1"/>
  <c r="X72" i="1"/>
  <c r="AB72" i="1"/>
  <c r="AF72" i="1"/>
  <c r="AJ72" i="1"/>
  <c r="AN72" i="1"/>
  <c r="AU72" i="1"/>
  <c r="AO70" i="1"/>
  <c r="AO69" i="1"/>
  <c r="AO68" i="1"/>
  <c r="AO67" i="1"/>
  <c r="AK70" i="1"/>
  <c r="AK69" i="1"/>
  <c r="AG70" i="1"/>
  <c r="AG69" i="1"/>
  <c r="AC71" i="1"/>
  <c r="Y71" i="1"/>
  <c r="U71" i="1"/>
  <c r="T71" i="1"/>
  <c r="X71" i="1"/>
  <c r="AB71" i="1"/>
  <c r="AF71" i="1"/>
  <c r="AJ71" i="1"/>
  <c r="AN71" i="1"/>
  <c r="AK68" i="1"/>
  <c r="AK67" i="1"/>
  <c r="AC70" i="1"/>
  <c r="Y70" i="1"/>
  <c r="U70" i="1"/>
  <c r="T70" i="1"/>
  <c r="X70" i="1"/>
  <c r="AB70" i="1"/>
  <c r="AF70" i="1"/>
  <c r="AJ70" i="1"/>
  <c r="AN70" i="1"/>
  <c r="AG68" i="1"/>
  <c r="AG67" i="1"/>
  <c r="AC69" i="1"/>
  <c r="Y69" i="1"/>
  <c r="U69" i="1"/>
  <c r="T69" i="1"/>
  <c r="X69" i="1"/>
  <c r="AB69" i="1"/>
  <c r="AF69" i="1"/>
  <c r="AJ69" i="1"/>
  <c r="AN69" i="1"/>
  <c r="AC68" i="1"/>
  <c r="Y68" i="1"/>
  <c r="U68" i="1"/>
  <c r="T68" i="1"/>
  <c r="X68" i="1"/>
  <c r="AB68" i="1"/>
  <c r="AF68" i="1"/>
  <c r="AJ68" i="1"/>
  <c r="AN68" i="1"/>
  <c r="AO66" i="1"/>
  <c r="AK66" i="1"/>
  <c r="AC67" i="1"/>
  <c r="Y67" i="1"/>
  <c r="U67" i="1"/>
  <c r="T67" i="1"/>
  <c r="X67" i="1"/>
  <c r="AB67" i="1"/>
  <c r="AF67" i="1"/>
  <c r="AJ67" i="1"/>
  <c r="AN67" i="1"/>
  <c r="AO65" i="1"/>
  <c r="AK65" i="1"/>
  <c r="AG66" i="1"/>
  <c r="AG65" i="1"/>
  <c r="AC66" i="1"/>
  <c r="T66" i="1"/>
  <c r="V66" i="1" s="1"/>
  <c r="X66" i="1"/>
  <c r="Z66" i="1" s="1"/>
  <c r="AB66" i="1"/>
  <c r="AF66" i="1"/>
  <c r="AJ66" i="1"/>
  <c r="AN66" i="1"/>
  <c r="AO64" i="1"/>
  <c r="AO63" i="1"/>
  <c r="AN65" i="1"/>
  <c r="AO62" i="1"/>
  <c r="AK64" i="1"/>
  <c r="AK63" i="1"/>
  <c r="AK62" i="1"/>
  <c r="AG64" i="1"/>
  <c r="AC65" i="1"/>
  <c r="Y65" i="1"/>
  <c r="U65" i="1"/>
  <c r="T65" i="1"/>
  <c r="X65" i="1"/>
  <c r="AB65" i="1"/>
  <c r="AF65" i="1"/>
  <c r="AJ65" i="1"/>
  <c r="AO61" i="1"/>
  <c r="AC64" i="1"/>
  <c r="Y64" i="1"/>
  <c r="U64" i="1"/>
  <c r="T64" i="1"/>
  <c r="X64" i="1"/>
  <c r="AB64" i="1"/>
  <c r="AF64" i="1"/>
  <c r="AJ64" i="1"/>
  <c r="AN64" i="1"/>
  <c r="AG63" i="1"/>
  <c r="AC63" i="1"/>
  <c r="Y63" i="1"/>
  <c r="U63" i="1"/>
  <c r="T63" i="1"/>
  <c r="X63" i="1"/>
  <c r="AB63" i="1"/>
  <c r="AF63" i="1"/>
  <c r="AJ63" i="1"/>
  <c r="AN63" i="1"/>
  <c r="AK61" i="1"/>
  <c r="AG62" i="1"/>
  <c r="AC62" i="1"/>
  <c r="Y62" i="1"/>
  <c r="U62" i="1"/>
  <c r="T62" i="1"/>
  <c r="X62" i="1"/>
  <c r="AB62" i="1"/>
  <c r="AF62" i="1"/>
  <c r="AJ62" i="1"/>
  <c r="AN62" i="1"/>
  <c r="AG61" i="1"/>
  <c r="AO60" i="1"/>
  <c r="AO59" i="1"/>
  <c r="AO58" i="1"/>
  <c r="AO57" i="1"/>
  <c r="AO56" i="1"/>
  <c r="AO55" i="1"/>
  <c r="AO54" i="1"/>
  <c r="AO53" i="1"/>
  <c r="AO52" i="1"/>
  <c r="AO49" i="1"/>
  <c r="AO51" i="1"/>
  <c r="AK60" i="1"/>
  <c r="AK59" i="1"/>
  <c r="AK58" i="1"/>
  <c r="AG58" i="1"/>
  <c r="AG59" i="1"/>
  <c r="AG60" i="1"/>
  <c r="T61" i="1"/>
  <c r="V61" i="1" s="1"/>
  <c r="X61" i="1"/>
  <c r="Z61" i="1" s="1"/>
  <c r="AB61" i="1"/>
  <c r="AE61" i="1" s="1"/>
  <c r="AF61" i="1"/>
  <c r="AJ61" i="1"/>
  <c r="AN61" i="1"/>
  <c r="AO48" i="1"/>
  <c r="AO46" i="1"/>
  <c r="AO44" i="1"/>
  <c r="AO43" i="1"/>
  <c r="AO42" i="1"/>
  <c r="AO41" i="1"/>
  <c r="AG56" i="1"/>
  <c r="AK56" i="1"/>
  <c r="AK55" i="1"/>
  <c r="AG55" i="1"/>
  <c r="AK53" i="1"/>
  <c r="AK52" i="1"/>
  <c r="AK54" i="1"/>
  <c r="AG54" i="1"/>
  <c r="AG53" i="1"/>
  <c r="AG52" i="1"/>
  <c r="AK49" i="1"/>
  <c r="AK48" i="1"/>
  <c r="AK51" i="1"/>
  <c r="AC51" i="1"/>
  <c r="Y51" i="1"/>
  <c r="AG48" i="1"/>
  <c r="AG46" i="1"/>
  <c r="AK46" i="1"/>
  <c r="AK44" i="1"/>
  <c r="AK43" i="1"/>
  <c r="AK42" i="1"/>
  <c r="AK41" i="1"/>
  <c r="AG44" i="1"/>
  <c r="AG43" i="1"/>
  <c r="AG42" i="1"/>
  <c r="AG41" i="1"/>
  <c r="AC41" i="1"/>
  <c r="Y41" i="1"/>
  <c r="AC60" i="1"/>
  <c r="Y60" i="1"/>
  <c r="U60" i="1"/>
  <c r="T60" i="1"/>
  <c r="X60" i="1"/>
  <c r="AB60" i="1"/>
  <c r="AF60" i="1"/>
  <c r="AJ60" i="1"/>
  <c r="AN60" i="1"/>
  <c r="AC59" i="1"/>
  <c r="Y59" i="1"/>
  <c r="U59" i="1"/>
  <c r="T59" i="1"/>
  <c r="X59" i="1"/>
  <c r="AB59" i="1"/>
  <c r="AF59" i="1"/>
  <c r="AJ59" i="1"/>
  <c r="AN59" i="1"/>
  <c r="AC58" i="1"/>
  <c r="Y58" i="1"/>
  <c r="U58" i="1"/>
  <c r="T58" i="1"/>
  <c r="X58" i="1"/>
  <c r="AB58" i="1"/>
  <c r="AF58" i="1"/>
  <c r="AJ58" i="1"/>
  <c r="AN58" i="1"/>
  <c r="AK57" i="1"/>
  <c r="AG57" i="1"/>
  <c r="AC57" i="1"/>
  <c r="Y57" i="1"/>
  <c r="U57" i="1"/>
  <c r="T57" i="1"/>
  <c r="X57" i="1"/>
  <c r="AB57" i="1"/>
  <c r="AF57" i="1"/>
  <c r="AJ57" i="1"/>
  <c r="AN57" i="1"/>
  <c r="T56" i="1"/>
  <c r="W56" i="1" s="1"/>
  <c r="X56" i="1"/>
  <c r="Z56" i="1" s="1"/>
  <c r="AB56" i="1"/>
  <c r="AD56" i="1" s="1"/>
  <c r="AF56" i="1"/>
  <c r="AJ56" i="1"/>
  <c r="AN56" i="1"/>
  <c r="T55" i="1"/>
  <c r="V55" i="1" s="1"/>
  <c r="X55" i="1"/>
  <c r="Z55" i="1" s="1"/>
  <c r="AB55" i="1"/>
  <c r="AD55" i="1" s="1"/>
  <c r="AF55" i="1"/>
  <c r="AJ55" i="1"/>
  <c r="AN55" i="1"/>
  <c r="AC54" i="1"/>
  <c r="Y54" i="1"/>
  <c r="T54" i="1"/>
  <c r="V54" i="1" s="1"/>
  <c r="X54" i="1"/>
  <c r="AB54" i="1"/>
  <c r="AF54" i="1"/>
  <c r="AJ54" i="1"/>
  <c r="AN54" i="1"/>
  <c r="AC53" i="1"/>
  <c r="Y53" i="1"/>
  <c r="U53" i="1"/>
  <c r="T53" i="1"/>
  <c r="X53" i="1"/>
  <c r="AB53" i="1"/>
  <c r="AF53" i="1"/>
  <c r="AJ53" i="1"/>
  <c r="AN53" i="1"/>
  <c r="AC52" i="1"/>
  <c r="Y52" i="1"/>
  <c r="U52" i="1"/>
  <c r="T52" i="1"/>
  <c r="X52" i="1"/>
  <c r="AB52" i="1"/>
  <c r="AF52" i="1"/>
  <c r="AJ52" i="1"/>
  <c r="AN52" i="1"/>
  <c r="U51" i="1"/>
  <c r="T51" i="1"/>
  <c r="X51" i="1"/>
  <c r="AB51" i="1"/>
  <c r="AF51" i="1"/>
  <c r="AI51" i="1" s="1"/>
  <c r="AJ51" i="1"/>
  <c r="AN51" i="1"/>
  <c r="T50" i="1"/>
  <c r="V50" i="1" s="1"/>
  <c r="X50" i="1"/>
  <c r="Z50" i="1" s="1"/>
  <c r="AB50" i="1"/>
  <c r="AE50" i="1" s="1"/>
  <c r="AF50" i="1"/>
  <c r="AJ50" i="1"/>
  <c r="AL50" i="1" s="1"/>
  <c r="AN50" i="1"/>
  <c r="AQ50" i="1" s="1"/>
  <c r="T49" i="1"/>
  <c r="V49" i="1" s="1"/>
  <c r="X49" i="1"/>
  <c r="Z49" i="1" s="1"/>
  <c r="AB49" i="1"/>
  <c r="AD49" i="1" s="1"/>
  <c r="AF49" i="1"/>
  <c r="AI49" i="1" s="1"/>
  <c r="AJ49" i="1"/>
  <c r="AN49" i="1"/>
  <c r="AC48" i="1"/>
  <c r="Y48" i="1"/>
  <c r="T48" i="1"/>
  <c r="V48" i="1" s="1"/>
  <c r="X48" i="1"/>
  <c r="AB48" i="1"/>
  <c r="AF48" i="1"/>
  <c r="AJ48" i="1"/>
  <c r="AN48" i="1"/>
  <c r="T47" i="1"/>
  <c r="V47" i="1" s="1"/>
  <c r="X47" i="1"/>
  <c r="AA47" i="1" s="1"/>
  <c r="AB47" i="1"/>
  <c r="AD47" i="1" s="1"/>
  <c r="AF47" i="1"/>
  <c r="AH47" i="1" s="1"/>
  <c r="AJ47" i="1"/>
  <c r="AL47" i="1" s="1"/>
  <c r="AN47" i="1"/>
  <c r="AQ47" i="1" s="1"/>
  <c r="AC46" i="1"/>
  <c r="Y46" i="1"/>
  <c r="U46" i="1"/>
  <c r="AO45" i="1"/>
  <c r="AK45" i="1"/>
  <c r="AG45" i="1"/>
  <c r="AC45" i="1"/>
  <c r="Y45" i="1"/>
  <c r="U45" i="1"/>
  <c r="T46" i="1"/>
  <c r="X46" i="1"/>
  <c r="AB46" i="1"/>
  <c r="AF46" i="1"/>
  <c r="AJ46" i="1"/>
  <c r="AN46" i="1"/>
  <c r="T45" i="1"/>
  <c r="X45" i="1"/>
  <c r="AB45" i="1"/>
  <c r="AF45" i="1"/>
  <c r="AJ45" i="1"/>
  <c r="AN45" i="1"/>
  <c r="T44" i="1"/>
  <c r="V44" i="1" s="1"/>
  <c r="X44" i="1"/>
  <c r="Z44" i="1" s="1"/>
  <c r="AB44" i="1"/>
  <c r="AD44" i="1" s="1"/>
  <c r="AF44" i="1"/>
  <c r="AJ44" i="1"/>
  <c r="AN44" i="1"/>
  <c r="AU44" i="1"/>
  <c r="T43" i="1"/>
  <c r="W43" i="1" s="1"/>
  <c r="X43" i="1"/>
  <c r="Z43" i="1" s="1"/>
  <c r="AB43" i="1"/>
  <c r="AE43" i="1" s="1"/>
  <c r="AF43" i="1"/>
  <c r="AJ43" i="1"/>
  <c r="AN43" i="1"/>
  <c r="AU43" i="1"/>
  <c r="T42" i="1"/>
  <c r="V42" i="1" s="1"/>
  <c r="X42" i="1"/>
  <c r="Z42" i="1" s="1"/>
  <c r="AB42" i="1"/>
  <c r="AE42" i="1" s="1"/>
  <c r="AF42" i="1"/>
  <c r="AJ42" i="1"/>
  <c r="AN42" i="1"/>
  <c r="T41" i="1"/>
  <c r="V41" i="1" s="1"/>
  <c r="X41" i="1"/>
  <c r="AB41" i="1"/>
  <c r="AF41" i="1"/>
  <c r="AJ41" i="1"/>
  <c r="AN41" i="1"/>
  <c r="X40" i="1"/>
  <c r="AA40" i="1" s="1"/>
  <c r="AO39" i="1"/>
  <c r="AK39" i="1"/>
  <c r="AG39" i="1"/>
  <c r="AC39" i="1"/>
  <c r="Y39" i="1"/>
  <c r="U39" i="1"/>
  <c r="T40" i="1"/>
  <c r="W40" i="1" s="1"/>
  <c r="AB40" i="1"/>
  <c r="AD40" i="1" s="1"/>
  <c r="AF40" i="1"/>
  <c r="AH40" i="1" s="1"/>
  <c r="AJ40" i="1"/>
  <c r="AM40" i="1" s="1"/>
  <c r="AN40" i="1"/>
  <c r="AQ40" i="1" s="1"/>
  <c r="AO38" i="1"/>
  <c r="AK38" i="1"/>
  <c r="AG38" i="1"/>
  <c r="AC38" i="1"/>
  <c r="Y38" i="1"/>
  <c r="T39" i="1"/>
  <c r="X39" i="1"/>
  <c r="AB39" i="1"/>
  <c r="AF39" i="1"/>
  <c r="AJ39" i="1"/>
  <c r="AN39" i="1"/>
  <c r="T38" i="1"/>
  <c r="W38" i="1" s="1"/>
  <c r="X38" i="1"/>
  <c r="AB38" i="1"/>
  <c r="AF38" i="1"/>
  <c r="AJ38" i="1"/>
  <c r="AN38" i="1"/>
  <c r="AO36" i="1"/>
  <c r="AK36" i="1"/>
  <c r="AG36" i="1"/>
  <c r="AC36" i="1"/>
  <c r="Y36" i="1"/>
  <c r="T37" i="1"/>
  <c r="V37" i="1" s="1"/>
  <c r="X37" i="1"/>
  <c r="AA37" i="1" s="1"/>
  <c r="AB37" i="1"/>
  <c r="AD37" i="1" s="1"/>
  <c r="AF37" i="1"/>
  <c r="AI37" i="1" s="1"/>
  <c r="AJ37" i="1"/>
  <c r="AM37" i="1" s="1"/>
  <c r="AN37" i="1"/>
  <c r="AP37" i="1" s="1"/>
  <c r="T36" i="1"/>
  <c r="V36" i="1" s="1"/>
  <c r="X36" i="1"/>
  <c r="AB36" i="1"/>
  <c r="AF36" i="1"/>
  <c r="AJ36" i="1"/>
  <c r="AN36" i="1"/>
  <c r="AD99" i="1" l="1"/>
  <c r="AQ99" i="1"/>
  <c r="AP38" i="1"/>
  <c r="AE99" i="1"/>
  <c r="Z98" i="1"/>
  <c r="AL96" i="1"/>
  <c r="Z99" i="1"/>
  <c r="AP99" i="1"/>
  <c r="AA99" i="1"/>
  <c r="W98" i="1"/>
  <c r="AD98" i="1"/>
  <c r="V99" i="1"/>
  <c r="AH98" i="1"/>
  <c r="AL98" i="1"/>
  <c r="Z65" i="1"/>
  <c r="Z69" i="1"/>
  <c r="Z67" i="1"/>
  <c r="AI98" i="1"/>
  <c r="AM44" i="1"/>
  <c r="AP97" i="1"/>
  <c r="AL99" i="1"/>
  <c r="AI97" i="1"/>
  <c r="AE98" i="1"/>
  <c r="AL97" i="1"/>
  <c r="AH99" i="1"/>
  <c r="V98" i="1"/>
  <c r="AP96" i="1"/>
  <c r="AD54" i="1"/>
  <c r="AP98" i="1"/>
  <c r="AM98" i="1"/>
  <c r="AE48" i="1"/>
  <c r="AI99" i="1"/>
  <c r="AM99" i="1"/>
  <c r="W99" i="1"/>
  <c r="AQ98" i="1"/>
  <c r="AA98" i="1"/>
  <c r="AD93" i="1"/>
  <c r="V95" i="1"/>
  <c r="AP94" i="1"/>
  <c r="AL93" i="1"/>
  <c r="Z97" i="1"/>
  <c r="AI90" i="1"/>
  <c r="AH39" i="1"/>
  <c r="Z52" i="1"/>
  <c r="AH62" i="1"/>
  <c r="Z88" i="1"/>
  <c r="AI94" i="1"/>
  <c r="AL91" i="1"/>
  <c r="AD94" i="1"/>
  <c r="AD95" i="1"/>
  <c r="AQ89" i="1"/>
  <c r="AL95" i="1"/>
  <c r="AH57" i="1"/>
  <c r="AH42" i="1"/>
  <c r="Z72" i="1"/>
  <c r="Z75" i="1"/>
  <c r="Z79" i="1"/>
  <c r="AD90" i="1"/>
  <c r="Z37" i="1"/>
  <c r="AL94" i="1"/>
  <c r="AM93" i="1"/>
  <c r="AA97" i="1"/>
  <c r="AH54" i="1"/>
  <c r="V94" i="1"/>
  <c r="AM96" i="1"/>
  <c r="AH97" i="1"/>
  <c r="AE97" i="1"/>
  <c r="AM91" i="1"/>
  <c r="Z41" i="1"/>
  <c r="AH55" i="1"/>
  <c r="Z77" i="1"/>
  <c r="AI89" i="1"/>
  <c r="AE94" i="1"/>
  <c r="Z57" i="1"/>
  <c r="Z59" i="1"/>
  <c r="Z71" i="1"/>
  <c r="AH83" i="1"/>
  <c r="Z86" i="1"/>
  <c r="Z89" i="1"/>
  <c r="AH91" i="1"/>
  <c r="W91" i="1"/>
  <c r="AE93" i="1"/>
  <c r="AH94" i="1"/>
  <c r="W95" i="1"/>
  <c r="AI96" i="1"/>
  <c r="AH43" i="1"/>
  <c r="Z90" i="1"/>
  <c r="Z91" i="1"/>
  <c r="AH45" i="1"/>
  <c r="Z46" i="1"/>
  <c r="Z53" i="1"/>
  <c r="Z58" i="1"/>
  <c r="AH44" i="1"/>
  <c r="AH59" i="1"/>
  <c r="AH61" i="1"/>
  <c r="Z62" i="1"/>
  <c r="AH66" i="1"/>
  <c r="AH67" i="1"/>
  <c r="AH70" i="1"/>
  <c r="AH71" i="1"/>
  <c r="AH73" i="1"/>
  <c r="AH72" i="1"/>
  <c r="AH75" i="1"/>
  <c r="AH78" i="1"/>
  <c r="Z80" i="1"/>
  <c r="Z81" i="1"/>
  <c r="AH80" i="1"/>
  <c r="AH82" i="1"/>
  <c r="Z87" i="1"/>
  <c r="AH87" i="1"/>
  <c r="AH89" i="1"/>
  <c r="W94" i="1"/>
  <c r="AM95" i="1"/>
  <c r="AD96" i="1"/>
  <c r="Z38" i="1"/>
  <c r="Z45" i="1"/>
  <c r="AH46" i="1"/>
  <c r="Z54" i="1"/>
  <c r="Z60" i="1"/>
  <c r="AH58" i="1"/>
  <c r="AH63" i="1"/>
  <c r="Z64" i="1"/>
  <c r="AH65" i="1"/>
  <c r="Z68" i="1"/>
  <c r="Z70" i="1"/>
  <c r="Z73" i="1"/>
  <c r="Z74" i="1"/>
  <c r="Z76" i="1"/>
  <c r="AH76" i="1"/>
  <c r="Z78" i="1"/>
  <c r="AH79" i="1"/>
  <c r="AH81" i="1"/>
  <c r="AE82" i="1"/>
  <c r="Z82" i="1"/>
  <c r="AD87" i="1"/>
  <c r="AP89" i="1"/>
  <c r="AH88" i="1"/>
  <c r="AH93" i="1"/>
  <c r="AH96" i="1"/>
  <c r="Z36" i="1"/>
  <c r="AH52" i="1"/>
  <c r="AH77" i="1"/>
  <c r="AH90" i="1"/>
  <c r="AH41" i="1"/>
  <c r="AH53" i="1"/>
  <c r="AH56" i="1"/>
  <c r="AH69" i="1"/>
  <c r="AE90" i="1"/>
  <c r="AD91" i="1"/>
  <c r="W96" i="1"/>
  <c r="AQ97" i="1"/>
  <c r="AH36" i="1"/>
  <c r="AH48" i="1"/>
  <c r="AH60" i="1"/>
  <c r="Z63" i="1"/>
  <c r="AD89" i="1"/>
  <c r="AI91" i="1"/>
  <c r="AI93" i="1"/>
  <c r="Z93" i="1"/>
  <c r="AP95" i="1"/>
  <c r="AI95" i="1"/>
  <c r="AH51" i="1"/>
  <c r="AD97" i="1"/>
  <c r="V97" i="1"/>
  <c r="AM97" i="1"/>
  <c r="W97" i="1"/>
  <c r="Z51" i="1"/>
  <c r="AH68" i="1"/>
  <c r="AH74" i="1"/>
  <c r="Z83" i="1"/>
  <c r="Z84" i="1"/>
  <c r="AH84" i="1"/>
  <c r="Z85" i="1"/>
  <c r="AH85" i="1"/>
  <c r="AH86" i="1"/>
  <c r="AH38" i="1"/>
  <c r="AI50" i="1"/>
  <c r="AH50" i="1"/>
  <c r="AH64" i="1"/>
  <c r="Z39" i="1"/>
  <c r="Z48" i="1"/>
  <c r="AA89" i="1"/>
  <c r="V93" i="1"/>
  <c r="AE89" i="1"/>
  <c r="Z40" i="1"/>
  <c r="AE91" i="1"/>
  <c r="V91" i="1"/>
  <c r="AP93" i="1"/>
  <c r="AE95" i="1"/>
  <c r="AH95" i="1"/>
  <c r="AH49" i="1"/>
  <c r="AH37" i="1"/>
  <c r="V96" i="1"/>
  <c r="AL89" i="1"/>
  <c r="Z47" i="1"/>
  <c r="AP91" i="1"/>
  <c r="W93" i="1"/>
  <c r="Z95" i="1"/>
  <c r="AE96" i="1"/>
  <c r="Z96" i="1"/>
  <c r="AQ96" i="1"/>
  <c r="AA96" i="1"/>
  <c r="AQ95" i="1"/>
  <c r="AA95" i="1"/>
  <c r="Z94" i="1"/>
  <c r="AM94" i="1"/>
  <c r="AQ94" i="1"/>
  <c r="AA94" i="1"/>
  <c r="AQ93" i="1"/>
  <c r="AA93" i="1"/>
  <c r="AQ91" i="1"/>
  <c r="AA91" i="1"/>
  <c r="AL90" i="1"/>
  <c r="V90" i="1"/>
  <c r="AM90" i="1"/>
  <c r="AP90" i="1" s="1"/>
  <c r="W90" i="1"/>
  <c r="AA90" i="1"/>
  <c r="V89" i="1"/>
  <c r="AM89" i="1"/>
  <c r="W89" i="1"/>
  <c r="AD82" i="1"/>
  <c r="V86" i="1"/>
  <c r="AI84" i="1"/>
  <c r="AA77" i="1"/>
  <c r="AE87" i="1"/>
  <c r="AA86" i="1"/>
  <c r="W86" i="1"/>
  <c r="AL82" i="1"/>
  <c r="AP82" i="1"/>
  <c r="AP77" i="1"/>
  <c r="AL69" i="1"/>
  <c r="AQ88" i="1"/>
  <c r="AP88" i="1"/>
  <c r="AI88" i="1"/>
  <c r="AQ86" i="1"/>
  <c r="AP86" i="1"/>
  <c r="AM88" i="1"/>
  <c r="AL88" i="1"/>
  <c r="AE88" i="1"/>
  <c r="AD88" i="1"/>
  <c r="AA88" i="1"/>
  <c r="V88" i="1"/>
  <c r="W88" i="1"/>
  <c r="AQ87" i="1"/>
  <c r="AP87" i="1"/>
  <c r="AM87" i="1"/>
  <c r="AL87" i="1"/>
  <c r="AI87" i="1"/>
  <c r="AA87" i="1"/>
  <c r="W87" i="1"/>
  <c r="V87" i="1"/>
  <c r="AM86" i="1"/>
  <c r="AL86" i="1"/>
  <c r="AI86" i="1"/>
  <c r="AE86" i="1"/>
  <c r="AD86" i="1"/>
  <c r="AQ85" i="1"/>
  <c r="AP85" i="1"/>
  <c r="AM85" i="1"/>
  <c r="AL85" i="1"/>
  <c r="AI85" i="1"/>
  <c r="AE85" i="1"/>
  <c r="AD85" i="1"/>
  <c r="AA85" i="1"/>
  <c r="W85" i="1"/>
  <c r="V85" i="1"/>
  <c r="AQ84" i="1"/>
  <c r="AP84" i="1"/>
  <c r="AL84" i="1"/>
  <c r="AM84" i="1"/>
  <c r="AE84" i="1"/>
  <c r="AD84" i="1"/>
  <c r="AA84" i="1"/>
  <c r="W84" i="1"/>
  <c r="V84" i="1"/>
  <c r="AQ83" i="1"/>
  <c r="AP83" i="1"/>
  <c r="AL83" i="1"/>
  <c r="AM83" i="1"/>
  <c r="AI83" i="1"/>
  <c r="AD83" i="1"/>
  <c r="AE83" i="1"/>
  <c r="AA83" i="1"/>
  <c r="W83" i="1"/>
  <c r="V83" i="1"/>
  <c r="V81" i="1"/>
  <c r="AP46" i="1"/>
  <c r="AL81" i="1"/>
  <c r="AQ48" i="1"/>
  <c r="AD73" i="1"/>
  <c r="AQ51" i="1"/>
  <c r="AD81" i="1"/>
  <c r="AP59" i="1"/>
  <c r="AP55" i="1"/>
  <c r="AI80" i="1"/>
  <c r="AL80" i="1"/>
  <c r="AP80" i="1"/>
  <c r="AI79" i="1"/>
  <c r="AL79" i="1"/>
  <c r="AP79" i="1"/>
  <c r="AI76" i="1"/>
  <c r="AP74" i="1"/>
  <c r="AP60" i="1"/>
  <c r="AL59" i="1"/>
  <c r="AM58" i="1"/>
  <c r="AP41" i="1"/>
  <c r="AI81" i="1"/>
  <c r="AD80" i="1"/>
  <c r="W81" i="1"/>
  <c r="AI82" i="1"/>
  <c r="AI73" i="1"/>
  <c r="AE81" i="1"/>
  <c r="V82" i="1"/>
  <c r="AD74" i="1"/>
  <c r="AP78" i="1"/>
  <c r="AE80" i="1"/>
  <c r="AM81" i="1"/>
  <c r="AM82" i="1"/>
  <c r="AP81" i="1"/>
  <c r="AD66" i="1"/>
  <c r="AP68" i="1"/>
  <c r="AL77" i="1"/>
  <c r="AL78" i="1"/>
  <c r="AE79" i="1"/>
  <c r="W82" i="1"/>
  <c r="AQ82" i="1"/>
  <c r="AA82" i="1"/>
  <c r="AQ81" i="1"/>
  <c r="AA81" i="1"/>
  <c r="V80" i="1"/>
  <c r="AM80" i="1"/>
  <c r="W80" i="1"/>
  <c r="AQ80" i="1"/>
  <c r="AA80" i="1"/>
  <c r="AI66" i="1"/>
  <c r="AP69" i="1"/>
  <c r="AL73" i="1"/>
  <c r="AD75" i="1"/>
  <c r="AE64" i="1"/>
  <c r="V79" i="1"/>
  <c r="AL62" i="1"/>
  <c r="AP65" i="1"/>
  <c r="AL71" i="1"/>
  <c r="AL65" i="1"/>
  <c r="AI68" i="1"/>
  <c r="V72" i="1"/>
  <c r="AD65" i="1"/>
  <c r="AD69" i="1"/>
  <c r="AE72" i="1"/>
  <c r="AA75" i="1"/>
  <c r="AP52" i="1"/>
  <c r="AP56" i="1"/>
  <c r="AP63" i="1"/>
  <c r="AL67" i="1"/>
  <c r="W79" i="1"/>
  <c r="AM62" i="1"/>
  <c r="AL63" i="1"/>
  <c r="AI65" i="1"/>
  <c r="AP71" i="1"/>
  <c r="AL76" i="1"/>
  <c r="AM79" i="1"/>
  <c r="AD79" i="1"/>
  <c r="AQ49" i="1"/>
  <c r="AM68" i="1"/>
  <c r="AD68" i="1"/>
  <c r="AE73" i="1"/>
  <c r="AA74" i="1"/>
  <c r="V76" i="1"/>
  <c r="AE69" i="1"/>
  <c r="AD71" i="1"/>
  <c r="AL74" i="1"/>
  <c r="AE74" i="1"/>
  <c r="V75" i="1"/>
  <c r="V77" i="1"/>
  <c r="AD76" i="1"/>
  <c r="AI78" i="1"/>
  <c r="AQ77" i="1"/>
  <c r="AQ67" i="1"/>
  <c r="V62" i="1"/>
  <c r="AM61" i="1"/>
  <c r="AD64" i="1"/>
  <c r="AE65" i="1"/>
  <c r="AL66" i="1"/>
  <c r="AE66" i="1"/>
  <c r="V68" i="1"/>
  <c r="AP70" i="1"/>
  <c r="AE70" i="1"/>
  <c r="AM71" i="1"/>
  <c r="AI71" i="1"/>
  <c r="AI70" i="1"/>
  <c r="AP72" i="1"/>
  <c r="AQ74" i="1"/>
  <c r="AE76" i="1"/>
  <c r="AM77" i="1"/>
  <c r="AI77" i="1"/>
  <c r="W77" i="1"/>
  <c r="AP64" i="1"/>
  <c r="AI67" i="1"/>
  <c r="AL75" i="1"/>
  <c r="AP76" i="1"/>
  <c r="AQ75" i="1"/>
  <c r="AD78" i="1"/>
  <c r="AE62" i="1"/>
  <c r="AA67" i="1"/>
  <c r="AI69" i="1"/>
  <c r="AL70" i="1"/>
  <c r="AM67" i="1"/>
  <c r="AM72" i="1"/>
  <c r="AA72" i="1"/>
  <c r="AP73" i="1"/>
  <c r="AP75" i="1"/>
  <c r="AE75" i="1"/>
  <c r="AD77" i="1"/>
  <c r="AE78" i="1"/>
  <c r="AQ79" i="1"/>
  <c r="AA79" i="1"/>
  <c r="V78" i="1"/>
  <c r="AM78" i="1"/>
  <c r="W78" i="1"/>
  <c r="AQ78" i="1"/>
  <c r="AA78" i="1"/>
  <c r="AE77" i="1"/>
  <c r="AM76" i="1"/>
  <c r="W76" i="1"/>
  <c r="AQ76" i="1"/>
  <c r="AA76" i="1"/>
  <c r="AI75" i="1"/>
  <c r="AM75" i="1"/>
  <c r="W75" i="1"/>
  <c r="V74" i="1"/>
  <c r="AI74" i="1"/>
  <c r="AM74" i="1"/>
  <c r="W74" i="1"/>
  <c r="V73" i="1"/>
  <c r="AM73" i="1"/>
  <c r="W73" i="1"/>
  <c r="AQ73" i="1"/>
  <c r="AA73" i="1"/>
  <c r="AD72" i="1"/>
  <c r="AL64" i="1"/>
  <c r="AI62" i="1"/>
  <c r="AI64" i="1"/>
  <c r="AM66" i="1"/>
  <c r="W66" i="1"/>
  <c r="AP67" i="1"/>
  <c r="AL68" i="1"/>
  <c r="AE68" i="1"/>
  <c r="AD70" i="1"/>
  <c r="V70" i="1"/>
  <c r="AL72" i="1"/>
  <c r="W72" i="1"/>
  <c r="AP61" i="1"/>
  <c r="AP66" i="1"/>
  <c r="AL36" i="1"/>
  <c r="AL60" i="1"/>
  <c r="AP62" i="1"/>
  <c r="AI63" i="1"/>
  <c r="AI72" i="1"/>
  <c r="AQ72" i="1"/>
  <c r="AE71" i="1"/>
  <c r="V71" i="1"/>
  <c r="W71" i="1"/>
  <c r="AQ71" i="1"/>
  <c r="AA71" i="1"/>
  <c r="W70" i="1"/>
  <c r="AM70" i="1"/>
  <c r="AQ70" i="1"/>
  <c r="AA70" i="1"/>
  <c r="V69" i="1"/>
  <c r="AM69" i="1"/>
  <c r="W69" i="1"/>
  <c r="AQ69" i="1"/>
  <c r="AA69" i="1"/>
  <c r="W68" i="1"/>
  <c r="AQ68" i="1"/>
  <c r="AA68" i="1"/>
  <c r="AE67" i="1"/>
  <c r="V67" i="1"/>
  <c r="AD67" i="1"/>
  <c r="W67" i="1"/>
  <c r="AQ66" i="1"/>
  <c r="AA66" i="1"/>
  <c r="V65" i="1"/>
  <c r="AM65" i="1"/>
  <c r="W65" i="1"/>
  <c r="AQ65" i="1"/>
  <c r="AA65" i="1"/>
  <c r="V64" i="1"/>
  <c r="AM64" i="1"/>
  <c r="W64" i="1"/>
  <c r="AQ64" i="1"/>
  <c r="AA64" i="1"/>
  <c r="AD63" i="1"/>
  <c r="W63" i="1"/>
  <c r="AP42" i="1"/>
  <c r="AL49" i="1"/>
  <c r="AE57" i="1"/>
  <c r="AP54" i="1"/>
  <c r="W62" i="1"/>
  <c r="AE41" i="1"/>
  <c r="AL54" i="1"/>
  <c r="AL57" i="1"/>
  <c r="AL42" i="1"/>
  <c r="AL51" i="1"/>
  <c r="AL53" i="1"/>
  <c r="AI56" i="1"/>
  <c r="AD62" i="1"/>
  <c r="AE63" i="1"/>
  <c r="V63" i="1"/>
  <c r="AL43" i="1"/>
  <c r="AL48" i="1"/>
  <c r="AL61" i="1"/>
  <c r="AM63" i="1"/>
  <c r="AQ63" i="1"/>
  <c r="AA63" i="1"/>
  <c r="AQ62" i="1"/>
  <c r="AA62" i="1"/>
  <c r="AL39" i="1"/>
  <c r="AL45" i="1"/>
  <c r="AP58" i="1"/>
  <c r="AL55" i="1"/>
  <c r="W61" i="1"/>
  <c r="AL37" i="1"/>
  <c r="AL38" i="1"/>
  <c r="AQ54" i="1"/>
  <c r="AD60" i="1"/>
  <c r="AA60" i="1"/>
  <c r="AL41" i="1"/>
  <c r="AL46" i="1"/>
  <c r="AL52" i="1"/>
  <c r="AL56" i="1"/>
  <c r="AD61" i="1"/>
  <c r="AQ44" i="1"/>
  <c r="AI59" i="1"/>
  <c r="W59" i="1"/>
  <c r="AM60" i="1"/>
  <c r="AL44" i="1"/>
  <c r="AL40" i="1"/>
  <c r="AL58" i="1"/>
  <c r="AI42" i="1"/>
  <c r="AP53" i="1"/>
  <c r="AP57" i="1"/>
  <c r="AI61" i="1"/>
  <c r="AQ61" i="1"/>
  <c r="AA61" i="1"/>
  <c r="AE58" i="1"/>
  <c r="AI54" i="1"/>
  <c r="AI43" i="1"/>
  <c r="V58" i="1"/>
  <c r="V60" i="1"/>
  <c r="AP43" i="1"/>
  <c r="AM52" i="1"/>
  <c r="AI58" i="1"/>
  <c r="AI52" i="1"/>
  <c r="AD59" i="1"/>
  <c r="AE56" i="1"/>
  <c r="V56" i="1"/>
  <c r="AA57" i="1"/>
  <c r="AD58" i="1"/>
  <c r="AM59" i="1"/>
  <c r="AE51" i="1"/>
  <c r="AM56" i="1"/>
  <c r="AE60" i="1"/>
  <c r="AQ60" i="1"/>
  <c r="AE55" i="1"/>
  <c r="AQ57" i="1"/>
  <c r="AM57" i="1"/>
  <c r="AD53" i="1"/>
  <c r="AE59" i="1"/>
  <c r="V59" i="1"/>
  <c r="W60" i="1"/>
  <c r="AI60" i="1"/>
  <c r="AQ59" i="1"/>
  <c r="AA59" i="1"/>
  <c r="W58" i="1"/>
  <c r="AQ58" i="1"/>
  <c r="AA58" i="1"/>
  <c r="AD57" i="1"/>
  <c r="V57" i="1"/>
  <c r="AI57" i="1"/>
  <c r="W57" i="1"/>
  <c r="AQ56" i="1"/>
  <c r="AA56" i="1"/>
  <c r="AE53" i="1"/>
  <c r="AP51" i="1"/>
  <c r="AA50" i="1"/>
  <c r="AA52" i="1"/>
  <c r="AI53" i="1"/>
  <c r="AI55" i="1"/>
  <c r="AE54" i="1"/>
  <c r="AA54" i="1"/>
  <c r="AP49" i="1"/>
  <c r="AM55" i="1"/>
  <c r="W55" i="1"/>
  <c r="AQ55" i="1"/>
  <c r="AA55" i="1"/>
  <c r="AM54" i="1"/>
  <c r="W54" i="1"/>
  <c r="AP50" i="1"/>
  <c r="AA51" i="1"/>
  <c r="V53" i="1"/>
  <c r="AQ52" i="1"/>
  <c r="AE49" i="1"/>
  <c r="AM50" i="1"/>
  <c r="W53" i="1"/>
  <c r="AM51" i="1"/>
  <c r="AM53" i="1"/>
  <c r="AQ53" i="1"/>
  <c r="AA53" i="1"/>
  <c r="AE52" i="1"/>
  <c r="V52" i="1"/>
  <c r="AD52" i="1"/>
  <c r="W52" i="1"/>
  <c r="V51" i="1"/>
  <c r="AD51" i="1"/>
  <c r="W51" i="1"/>
  <c r="AD50" i="1"/>
  <c r="W50" i="1"/>
  <c r="AM49" i="1"/>
  <c r="W49" i="1"/>
  <c r="AA49" i="1"/>
  <c r="AE45" i="1"/>
  <c r="AE44" i="1"/>
  <c r="V43" i="1"/>
  <c r="AQ45" i="1"/>
  <c r="V46" i="1"/>
  <c r="AA45" i="1"/>
  <c r="AD48" i="1"/>
  <c r="AD43" i="1"/>
  <c r="AE46" i="1"/>
  <c r="AI48" i="1"/>
  <c r="AM46" i="1"/>
  <c r="AD45" i="1"/>
  <c r="AP48" i="1"/>
  <c r="AM42" i="1"/>
  <c r="W44" i="1"/>
  <c r="AI47" i="1"/>
  <c r="AI45" i="1"/>
  <c r="V45" i="1"/>
  <c r="AI46" i="1"/>
  <c r="AP47" i="1"/>
  <c r="AP39" i="1"/>
  <c r="AP44" i="1"/>
  <c r="AA44" i="1"/>
  <c r="AP45" i="1"/>
  <c r="W46" i="1"/>
  <c r="AE47" i="1"/>
  <c r="AD46" i="1"/>
  <c r="AM48" i="1"/>
  <c r="W48" i="1"/>
  <c r="AA48" i="1"/>
  <c r="W47" i="1"/>
  <c r="AM47" i="1"/>
  <c r="AQ46" i="1"/>
  <c r="AA46" i="1"/>
  <c r="AM45" i="1"/>
  <c r="W45" i="1"/>
  <c r="AI41" i="1"/>
  <c r="AM43" i="1"/>
  <c r="AI44" i="1"/>
  <c r="AQ43" i="1"/>
  <c r="AA43" i="1"/>
  <c r="AD39" i="1"/>
  <c r="AI38" i="1"/>
  <c r="AE36" i="1"/>
  <c r="AP40" i="1"/>
  <c r="AE39" i="1"/>
  <c r="AD38" i="1"/>
  <c r="W39" i="1"/>
  <c r="W42" i="1"/>
  <c r="V39" i="1"/>
  <c r="AM41" i="1"/>
  <c r="AD42" i="1"/>
  <c r="AQ42" i="1"/>
  <c r="AA42" i="1"/>
  <c r="W41" i="1"/>
  <c r="AD41" i="1"/>
  <c r="AQ41" i="1"/>
  <c r="AA41" i="1"/>
  <c r="AI36" i="1"/>
  <c r="AE38" i="1"/>
  <c r="AP36" i="1"/>
  <c r="AM38" i="1"/>
  <c r="V38" i="1"/>
  <c r="AM39" i="1"/>
  <c r="AD36" i="1"/>
  <c r="AI39" i="1"/>
  <c r="AE40" i="1"/>
  <c r="AM36" i="1"/>
  <c r="V40" i="1"/>
  <c r="AI40" i="1"/>
  <c r="AQ39" i="1"/>
  <c r="AA39" i="1"/>
  <c r="AQ38" i="1"/>
  <c r="AA38" i="1"/>
  <c r="W36" i="1"/>
  <c r="AQ37" i="1"/>
  <c r="W37" i="1"/>
  <c r="AE37" i="1"/>
  <c r="AQ36" i="1"/>
  <c r="AA36" i="1"/>
  <c r="AQ90" i="1" l="1"/>
  <c r="T35" i="1"/>
  <c r="V35" i="1" s="1"/>
  <c r="X35" i="1"/>
  <c r="Z35" i="1" s="1"/>
  <c r="AB35" i="1"/>
  <c r="AE35" i="1" s="1"/>
  <c r="AF35" i="1"/>
  <c r="AJ35" i="1"/>
  <c r="AL35" i="1" s="1"/>
  <c r="AN35" i="1"/>
  <c r="AP35" i="1" s="1"/>
  <c r="AU35" i="1"/>
  <c r="B10" i="1"/>
  <c r="T34" i="1"/>
  <c r="V34" i="1" s="1"/>
  <c r="X34" i="1"/>
  <c r="AB34" i="1"/>
  <c r="AD34" i="1" s="1"/>
  <c r="AF34" i="1"/>
  <c r="AH34" i="1" s="1"/>
  <c r="AJ34" i="1"/>
  <c r="AN34" i="1"/>
  <c r="AQ34" i="1" s="1"/>
  <c r="T33" i="1"/>
  <c r="V33" i="1" s="1"/>
  <c r="X33" i="1"/>
  <c r="Z33" i="1" s="1"/>
  <c r="AB33" i="1"/>
  <c r="AE33" i="1" s="1"/>
  <c r="AF33" i="1"/>
  <c r="AJ33" i="1"/>
  <c r="AN33" i="1"/>
  <c r="AP33" i="1" s="1"/>
  <c r="T32" i="1"/>
  <c r="W32" i="1" s="1"/>
  <c r="X32" i="1"/>
  <c r="Z32" i="1" s="1"/>
  <c r="AB32" i="1"/>
  <c r="AE32" i="1" s="1"/>
  <c r="AF32" i="1"/>
  <c r="AH32" i="1" s="1"/>
  <c r="AJ32" i="1"/>
  <c r="AL32" i="1" s="1"/>
  <c r="AN32" i="1"/>
  <c r="AP32" i="1" s="1"/>
  <c r="T28" i="1"/>
  <c r="W28" i="1" s="1"/>
  <c r="X28" i="1"/>
  <c r="Z28" i="1" s="1"/>
  <c r="AB28" i="1"/>
  <c r="AD28" i="1" s="1"/>
  <c r="AF28" i="1"/>
  <c r="AH28" i="1" s="1"/>
  <c r="AJ28" i="1"/>
  <c r="AL28" i="1" s="1"/>
  <c r="AN28" i="1"/>
  <c r="AP28" i="1" s="1"/>
  <c r="T29" i="1"/>
  <c r="W29" i="1" s="1"/>
  <c r="X29" i="1"/>
  <c r="Z29" i="1" s="1"/>
  <c r="AB29" i="1"/>
  <c r="AD29" i="1" s="1"/>
  <c r="AF29" i="1"/>
  <c r="AH29" i="1" s="1"/>
  <c r="AJ29" i="1"/>
  <c r="AL29" i="1" s="1"/>
  <c r="AN29" i="1"/>
  <c r="AP29" i="1" s="1"/>
  <c r="T30" i="1"/>
  <c r="V30" i="1" s="1"/>
  <c r="X30" i="1"/>
  <c r="Z30" i="1" s="1"/>
  <c r="AB30" i="1"/>
  <c r="AD30" i="1" s="1"/>
  <c r="AF30" i="1"/>
  <c r="AH30" i="1" s="1"/>
  <c r="AJ30" i="1"/>
  <c r="AN30" i="1"/>
  <c r="AP30" i="1" s="1"/>
  <c r="T31" i="1"/>
  <c r="W31" i="1" s="1"/>
  <c r="X31" i="1"/>
  <c r="Z31" i="1" s="1"/>
  <c r="AB31" i="1"/>
  <c r="AD31" i="1" s="1"/>
  <c r="AF31" i="1"/>
  <c r="AH31" i="1" s="1"/>
  <c r="AJ31" i="1"/>
  <c r="AL31" i="1" s="1"/>
  <c r="AN31" i="1"/>
  <c r="AP31" i="1" s="1"/>
  <c r="Y26" i="1"/>
  <c r="U26" i="1"/>
  <c r="T26" i="1"/>
  <c r="X26" i="1"/>
  <c r="AB26" i="1"/>
  <c r="AE26" i="1" s="1"/>
  <c r="AF26" i="1"/>
  <c r="AJ26" i="1"/>
  <c r="AL26" i="1" s="1"/>
  <c r="AN26" i="1"/>
  <c r="AQ26" i="1" s="1"/>
  <c r="T25" i="1"/>
  <c r="V25" i="1" s="1"/>
  <c r="T23" i="1"/>
  <c r="W23" i="1" s="1"/>
  <c r="X23" i="1"/>
  <c r="Z23" i="1" s="1"/>
  <c r="AB23" i="1"/>
  <c r="AD23" i="1" s="1"/>
  <c r="AF23" i="1"/>
  <c r="AH23" i="1" s="1"/>
  <c r="AJ23" i="1"/>
  <c r="AL23" i="1" s="1"/>
  <c r="AN23" i="1"/>
  <c r="AP23" i="1" s="1"/>
  <c r="T24" i="1"/>
  <c r="V24" i="1" s="1"/>
  <c r="X24" i="1"/>
  <c r="AB24" i="1"/>
  <c r="AE24" i="1" s="1"/>
  <c r="AF24" i="1"/>
  <c r="AH24" i="1" s="1"/>
  <c r="AJ24" i="1"/>
  <c r="AL24" i="1" s="1"/>
  <c r="AN24" i="1"/>
  <c r="AQ24" i="1" s="1"/>
  <c r="X25" i="1"/>
  <c r="Z25" i="1" s="1"/>
  <c r="AB25" i="1"/>
  <c r="AE25" i="1" s="1"/>
  <c r="AF25" i="1"/>
  <c r="AH25" i="1" s="1"/>
  <c r="AJ25" i="1"/>
  <c r="AL25" i="1" s="1"/>
  <c r="AN25" i="1"/>
  <c r="AP25" i="1" s="1"/>
  <c r="T21" i="1"/>
  <c r="W21" i="1" s="1"/>
  <c r="X21" i="1"/>
  <c r="Z21" i="1" s="1"/>
  <c r="AB21" i="1"/>
  <c r="AD21" i="1" s="1"/>
  <c r="AF21" i="1"/>
  <c r="AH21" i="1" s="1"/>
  <c r="AJ21" i="1"/>
  <c r="AN21" i="1"/>
  <c r="AP21" i="1" s="1"/>
  <c r="T22" i="1"/>
  <c r="V22" i="1" s="1"/>
  <c r="X22" i="1"/>
  <c r="Z22" i="1" s="1"/>
  <c r="AB22" i="1"/>
  <c r="AE22" i="1" s="1"/>
  <c r="AF22" i="1"/>
  <c r="AH22" i="1" s="1"/>
  <c r="AJ22" i="1"/>
  <c r="AL22" i="1" s="1"/>
  <c r="AN22" i="1"/>
  <c r="AP22" i="1" s="1"/>
  <c r="O34" i="7"/>
  <c r="R34" i="7" s="1"/>
  <c r="S34" i="7"/>
  <c r="U34" i="7" s="1"/>
  <c r="W34" i="7"/>
  <c r="Y34" i="7" s="1"/>
  <c r="AA34" i="7"/>
  <c r="AC34" i="7" s="1"/>
  <c r="O35" i="7"/>
  <c r="R35" i="7" s="1"/>
  <c r="S35" i="7"/>
  <c r="U35" i="7" s="1"/>
  <c r="W35" i="7"/>
  <c r="Y35" i="7" s="1"/>
  <c r="AA35" i="7"/>
  <c r="AC35" i="7" s="1"/>
  <c r="O36" i="7"/>
  <c r="Q36" i="7" s="1"/>
  <c r="R36" i="7"/>
  <c r="S36" i="7"/>
  <c r="U36" i="7" s="1"/>
  <c r="W36" i="7"/>
  <c r="Y36" i="7"/>
  <c r="Z36" i="7"/>
  <c r="AA36" i="7"/>
  <c r="AC36" i="7"/>
  <c r="AD36" i="7"/>
  <c r="B37" i="7"/>
  <c r="O37" i="7"/>
  <c r="Q37" i="7"/>
  <c r="R37" i="7"/>
  <c r="S37" i="7"/>
  <c r="U37" i="7"/>
  <c r="V37" i="7"/>
  <c r="W37" i="7"/>
  <c r="Y37" i="7"/>
  <c r="Z37" i="7"/>
  <c r="AA37" i="7"/>
  <c r="AC37" i="7"/>
  <c r="AD37" i="7"/>
  <c r="AA33" i="7"/>
  <c r="AD33" i="7" s="1"/>
  <c r="Y33" i="7"/>
  <c r="W33" i="7"/>
  <c r="Z33" i="7" s="1"/>
  <c r="S33" i="7"/>
  <c r="V33" i="7" s="1"/>
  <c r="O33" i="7"/>
  <c r="R33" i="7" s="1"/>
  <c r="B33" i="7"/>
  <c r="O38" i="7"/>
  <c r="Q38" i="7" s="1"/>
  <c r="S38" i="7"/>
  <c r="U38" i="7" s="1"/>
  <c r="W38" i="7"/>
  <c r="Y38" i="7"/>
  <c r="Z38" i="7"/>
  <c r="AA38" i="7"/>
  <c r="AD38" i="7" s="1"/>
  <c r="B32" i="7"/>
  <c r="O32" i="7"/>
  <c r="R32" i="7" s="1"/>
  <c r="S32" i="7"/>
  <c r="U32" i="7" s="1"/>
  <c r="W32" i="7"/>
  <c r="Z32" i="7" s="1"/>
  <c r="AA32" i="7"/>
  <c r="AD32" i="7" s="1"/>
  <c r="AC32" i="7"/>
  <c r="T20" i="1"/>
  <c r="W20" i="1" s="1"/>
  <c r="X20" i="1"/>
  <c r="Z20" i="1" s="1"/>
  <c r="AB20" i="1"/>
  <c r="AE20" i="1" s="1"/>
  <c r="AF20" i="1"/>
  <c r="AH20" i="1" s="1"/>
  <c r="AJ20" i="1"/>
  <c r="AL20" i="1" s="1"/>
  <c r="AN20" i="1"/>
  <c r="AP20" i="1" s="1"/>
  <c r="B31" i="7"/>
  <c r="O31" i="7"/>
  <c r="Q31" i="7" s="1"/>
  <c r="S31" i="7"/>
  <c r="U31" i="7" s="1"/>
  <c r="W31" i="7"/>
  <c r="Y31" i="7" s="1"/>
  <c r="AA31" i="7"/>
  <c r="AC31" i="7" s="1"/>
  <c r="AA15" i="7"/>
  <c r="AC15" i="7" s="1"/>
  <c r="W15" i="7"/>
  <c r="Y15" i="7" s="1"/>
  <c r="S15" i="7"/>
  <c r="V15" i="7" s="1"/>
  <c r="B27" i="7"/>
  <c r="B28" i="7"/>
  <c r="B29" i="7"/>
  <c r="B30" i="7"/>
  <c r="O27" i="7"/>
  <c r="O28" i="7"/>
  <c r="Q28" i="7" s="1"/>
  <c r="O29" i="7"/>
  <c r="O30" i="7"/>
  <c r="Q27" i="7"/>
  <c r="Q29" i="7"/>
  <c r="Q30" i="7"/>
  <c r="R27" i="7"/>
  <c r="R28" i="7"/>
  <c r="R29" i="7"/>
  <c r="R30" i="7"/>
  <c r="S27" i="7"/>
  <c r="U27" i="7" s="1"/>
  <c r="S28" i="7"/>
  <c r="U28" i="7" s="1"/>
  <c r="S29" i="7"/>
  <c r="V29" i="7" s="1"/>
  <c r="S30" i="7"/>
  <c r="V30" i="7" s="1"/>
  <c r="V27" i="7"/>
  <c r="V28" i="7"/>
  <c r="W27" i="7"/>
  <c r="W28" i="7"/>
  <c r="W29" i="7"/>
  <c r="W30" i="7"/>
  <c r="Y30" i="7" s="1"/>
  <c r="Y27" i="7"/>
  <c r="Y28" i="7"/>
  <c r="Y29" i="7"/>
  <c r="Z27" i="7"/>
  <c r="Z28" i="7"/>
  <c r="Z29" i="7"/>
  <c r="Z30" i="7"/>
  <c r="AA27" i="7"/>
  <c r="AD27" i="7" s="1"/>
  <c r="AA28" i="7"/>
  <c r="AD28" i="7" s="1"/>
  <c r="AA29" i="7"/>
  <c r="AC29" i="7" s="1"/>
  <c r="AA30" i="7"/>
  <c r="AD30" i="7" s="1"/>
  <c r="B26" i="7"/>
  <c r="Z26" i="1" l="1"/>
  <c r="AA24" i="1"/>
  <c r="Z24" i="1"/>
  <c r="AI33" i="1"/>
  <c r="AH33" i="1"/>
  <c r="AA34" i="1"/>
  <c r="Z34" i="1"/>
  <c r="AI26" i="1"/>
  <c r="AH26" i="1"/>
  <c r="AI35" i="1"/>
  <c r="AH35" i="1"/>
  <c r="AM34" i="1"/>
  <c r="AL34" i="1"/>
  <c r="AM21" i="1"/>
  <c r="AL21" i="1"/>
  <c r="AM30" i="1"/>
  <c r="AL30" i="1"/>
  <c r="AM33" i="1"/>
  <c r="AL33" i="1"/>
  <c r="W35" i="1"/>
  <c r="AM35" i="1"/>
  <c r="AD35" i="1"/>
  <c r="AQ35" i="1"/>
  <c r="AA35" i="1"/>
  <c r="AI34" i="1"/>
  <c r="AA30" i="1"/>
  <c r="AP34" i="1"/>
  <c r="AE34" i="1"/>
  <c r="W34" i="1"/>
  <c r="W33" i="1"/>
  <c r="AD33" i="1"/>
  <c r="AQ33" i="1"/>
  <c r="AA33" i="1"/>
  <c r="AI32" i="1"/>
  <c r="V32" i="1"/>
  <c r="AD32" i="1"/>
  <c r="AE31" i="1"/>
  <c r="V31" i="1"/>
  <c r="AM32" i="1"/>
  <c r="AI31" i="1"/>
  <c r="AQ32" i="1"/>
  <c r="AA32" i="1"/>
  <c r="AM31" i="1"/>
  <c r="AQ31" i="1"/>
  <c r="AA31" i="1"/>
  <c r="W30" i="1"/>
  <c r="AI28" i="1"/>
  <c r="AI29" i="1"/>
  <c r="AQ30" i="1"/>
  <c r="AM28" i="1"/>
  <c r="AE29" i="1"/>
  <c r="V29" i="1"/>
  <c r="AE28" i="1"/>
  <c r="V28" i="1"/>
  <c r="AE30" i="1"/>
  <c r="AI30" i="1"/>
  <c r="AM29" i="1"/>
  <c r="AQ29" i="1"/>
  <c r="AA29" i="1"/>
  <c r="AQ28" i="1"/>
  <c r="AA28" i="1"/>
  <c r="AP26" i="1"/>
  <c r="V26" i="1"/>
  <c r="AA26" i="1"/>
  <c r="AM26" i="1"/>
  <c r="AD26" i="1"/>
  <c r="W26" i="1"/>
  <c r="AD25" i="1"/>
  <c r="AM25" i="1"/>
  <c r="AI25" i="1"/>
  <c r="W25" i="1"/>
  <c r="V36" i="7"/>
  <c r="AQ25" i="1"/>
  <c r="AA25" i="1"/>
  <c r="AD24" i="1"/>
  <c r="AI23" i="1"/>
  <c r="AI24" i="1"/>
  <c r="AP24" i="1"/>
  <c r="AE23" i="1"/>
  <c r="V23" i="1"/>
  <c r="AM24" i="1"/>
  <c r="W24" i="1"/>
  <c r="Z35" i="7"/>
  <c r="Q35" i="7"/>
  <c r="V35" i="7"/>
  <c r="Q34" i="7"/>
  <c r="AD35" i="7"/>
  <c r="AM23" i="1"/>
  <c r="AQ23" i="1"/>
  <c r="AA23" i="1"/>
  <c r="AI22" i="1"/>
  <c r="AI21" i="1"/>
  <c r="AM22" i="1"/>
  <c r="W22" i="1"/>
  <c r="AE21" i="1"/>
  <c r="V21" i="1"/>
  <c r="AD22" i="1"/>
  <c r="AQ22" i="1"/>
  <c r="AA22" i="1"/>
  <c r="AQ21" i="1"/>
  <c r="AA21" i="1"/>
  <c r="AQ20" i="1"/>
  <c r="AD20" i="1"/>
  <c r="AM20" i="1"/>
  <c r="V20" i="1"/>
  <c r="AA20" i="1"/>
  <c r="V34" i="7"/>
  <c r="Z34" i="7"/>
  <c r="AD34" i="7"/>
  <c r="Z31" i="7"/>
  <c r="Z15" i="7"/>
  <c r="Q32" i="7"/>
  <c r="U33" i="7"/>
  <c r="Y32" i="7"/>
  <c r="U15" i="7"/>
  <c r="AC33" i="7"/>
  <c r="AD15" i="7"/>
  <c r="Q33" i="7"/>
  <c r="AC38" i="7"/>
  <c r="AD29" i="7"/>
  <c r="V38" i="7"/>
  <c r="R38" i="7"/>
  <c r="V32" i="7"/>
  <c r="AI20" i="1"/>
  <c r="V31" i="7"/>
  <c r="AD31" i="7"/>
  <c r="R31" i="7"/>
  <c r="AC28" i="7"/>
  <c r="AC27" i="7"/>
  <c r="AC30" i="7"/>
  <c r="U30" i="7"/>
  <c r="U29" i="7"/>
  <c r="B25" i="7" l="1"/>
  <c r="O25" i="7"/>
  <c r="Q25" i="7" s="1"/>
  <c r="O26" i="7"/>
  <c r="Q26" i="7" s="1"/>
  <c r="S25" i="7"/>
  <c r="U25" i="7" s="1"/>
  <c r="S26" i="7"/>
  <c r="U26" i="7" s="1"/>
  <c r="W25" i="7"/>
  <c r="Y25" i="7" s="1"/>
  <c r="W26" i="7"/>
  <c r="Y26" i="7" s="1"/>
  <c r="AA25" i="7"/>
  <c r="AC25" i="7" s="1"/>
  <c r="AA26" i="7"/>
  <c r="AC26" i="7" s="1"/>
  <c r="B24" i="7"/>
  <c r="O24" i="7"/>
  <c r="Q24" i="7" s="1"/>
  <c r="R24" i="7"/>
  <c r="S24" i="7"/>
  <c r="U24" i="7" s="1"/>
  <c r="V24" i="7"/>
  <c r="W24" i="7"/>
  <c r="Y24" i="7" s="1"/>
  <c r="AA24" i="7"/>
  <c r="AC24" i="7" s="1"/>
  <c r="T18" i="1"/>
  <c r="V18" i="1" s="1"/>
  <c r="X18" i="1"/>
  <c r="Z18" i="1" s="1"/>
  <c r="AB18" i="1"/>
  <c r="AD18" i="1" s="1"/>
  <c r="AF18" i="1"/>
  <c r="AJ18" i="1"/>
  <c r="AN18" i="1"/>
  <c r="AP18" i="1" s="1"/>
  <c r="T19" i="1"/>
  <c r="V19" i="1" s="1"/>
  <c r="X19" i="1"/>
  <c r="Z19" i="1" s="1"/>
  <c r="AB19" i="1"/>
  <c r="AE19" i="1" s="1"/>
  <c r="AF19" i="1"/>
  <c r="AJ19" i="1"/>
  <c r="AL19" i="1" s="1"/>
  <c r="AN19" i="1"/>
  <c r="AQ19" i="1" s="1"/>
  <c r="B23" i="7"/>
  <c r="O23" i="7"/>
  <c r="Q23" i="7" s="1"/>
  <c r="S23" i="7"/>
  <c r="U23" i="7" s="1"/>
  <c r="V23" i="7"/>
  <c r="W23" i="7"/>
  <c r="Y23" i="7" s="1"/>
  <c r="AA23" i="7"/>
  <c r="AD23" i="7" s="1"/>
  <c r="B22" i="7"/>
  <c r="O22" i="7"/>
  <c r="R22" i="7" s="1"/>
  <c r="S22" i="7"/>
  <c r="U22" i="7" s="1"/>
  <c r="W22" i="7"/>
  <c r="Z22" i="7" s="1"/>
  <c r="Y22" i="7"/>
  <c r="AA22" i="7"/>
  <c r="AC22" i="7" s="1"/>
  <c r="AI18" i="1" l="1"/>
  <c r="AH18" i="1"/>
  <c r="AI19" i="1"/>
  <c r="AH19" i="1"/>
  <c r="AM18" i="1"/>
  <c r="AL18" i="1"/>
  <c r="Q22" i="7"/>
  <c r="AC23" i="7"/>
  <c r="V26" i="7"/>
  <c r="AD22" i="7"/>
  <c r="Z23" i="7"/>
  <c r="R23" i="7"/>
  <c r="AD25" i="7"/>
  <c r="R26" i="7"/>
  <c r="AA18" i="1"/>
  <c r="W18" i="1"/>
  <c r="AP19" i="1"/>
  <c r="AD19" i="1"/>
  <c r="Z26" i="7"/>
  <c r="Z25" i="7"/>
  <c r="V22" i="7"/>
  <c r="AD24" i="7"/>
  <c r="AM19" i="1"/>
  <c r="AD26" i="7"/>
  <c r="R25" i="7"/>
  <c r="V25" i="7"/>
  <c r="Z24" i="7"/>
  <c r="AQ18" i="1"/>
  <c r="AE18" i="1"/>
  <c r="AA19" i="1"/>
  <c r="W19" i="1"/>
  <c r="T16" i="1" l="1"/>
  <c r="W16" i="1" s="1"/>
  <c r="X16" i="1"/>
  <c r="AB16" i="1"/>
  <c r="AD16" i="1" s="1"/>
  <c r="AF16" i="1"/>
  <c r="AH16" i="1" s="1"/>
  <c r="AJ16" i="1"/>
  <c r="AL16" i="1" s="1"/>
  <c r="AN16" i="1"/>
  <c r="AP16" i="1" s="1"/>
  <c r="T17" i="1"/>
  <c r="V17" i="1" s="1"/>
  <c r="X17" i="1"/>
  <c r="Z17" i="1" s="1"/>
  <c r="AB17" i="1"/>
  <c r="AE17" i="1" s="1"/>
  <c r="AF17" i="1"/>
  <c r="AH17" i="1" s="1"/>
  <c r="AJ17" i="1"/>
  <c r="AL17" i="1" s="1"/>
  <c r="AN17" i="1"/>
  <c r="AP17" i="1" s="1"/>
  <c r="O15" i="7"/>
  <c r="B16" i="7"/>
  <c r="O16" i="7"/>
  <c r="R16" i="7" s="1"/>
  <c r="S16" i="7"/>
  <c r="U16" i="7" s="1"/>
  <c r="W16" i="7"/>
  <c r="Y16" i="7" s="1"/>
  <c r="AA16" i="7"/>
  <c r="AC16" i="7" s="1"/>
  <c r="B17" i="7"/>
  <c r="O17" i="7"/>
  <c r="Q17" i="7" s="1"/>
  <c r="S17" i="7"/>
  <c r="U17" i="7" s="1"/>
  <c r="W17" i="7"/>
  <c r="Z17" i="7" s="1"/>
  <c r="AA17" i="7"/>
  <c r="AC17" i="7" s="1"/>
  <c r="B18" i="7"/>
  <c r="O18" i="7"/>
  <c r="R18" i="7" s="1"/>
  <c r="S18" i="7"/>
  <c r="U18" i="7" s="1"/>
  <c r="W18" i="7"/>
  <c r="Y18" i="7" s="1"/>
  <c r="AA18" i="7"/>
  <c r="AC18" i="7" s="1"/>
  <c r="B19" i="7"/>
  <c r="O19" i="7"/>
  <c r="Q19" i="7" s="1"/>
  <c r="S19" i="7"/>
  <c r="U19" i="7" s="1"/>
  <c r="W19" i="7"/>
  <c r="Y19" i="7" s="1"/>
  <c r="AA19" i="7"/>
  <c r="AD19" i="7" s="1"/>
  <c r="B20" i="7"/>
  <c r="O20" i="7"/>
  <c r="Q20" i="7" s="1"/>
  <c r="S20" i="7"/>
  <c r="U20" i="7" s="1"/>
  <c r="W20" i="7"/>
  <c r="Y20" i="7" s="1"/>
  <c r="AA20" i="7"/>
  <c r="AD20" i="7" s="1"/>
  <c r="B21" i="7"/>
  <c r="O21" i="7"/>
  <c r="Q21" i="7" s="1"/>
  <c r="S21" i="7"/>
  <c r="V21" i="7" s="1"/>
  <c r="W21" i="7"/>
  <c r="Y21" i="7" s="1"/>
  <c r="AA21" i="7"/>
  <c r="AC21" i="7" s="1"/>
  <c r="B15" i="7"/>
  <c r="T13" i="1"/>
  <c r="W13" i="1" s="1"/>
  <c r="T14" i="1"/>
  <c r="W14" i="1" s="1"/>
  <c r="X13" i="1"/>
  <c r="Z13" i="1" s="1"/>
  <c r="X14" i="1"/>
  <c r="Z14" i="1" s="1"/>
  <c r="AB13" i="1"/>
  <c r="AD13" i="1" s="1"/>
  <c r="AB14" i="1"/>
  <c r="AD14" i="1" s="1"/>
  <c r="AF13" i="1"/>
  <c r="AF14" i="1"/>
  <c r="AH14" i="1" s="1"/>
  <c r="AJ13" i="1"/>
  <c r="AJ14" i="1"/>
  <c r="AL14" i="1" s="1"/>
  <c r="AN13" i="1"/>
  <c r="AP13" i="1" s="1"/>
  <c r="AN14" i="1"/>
  <c r="AP14" i="1" s="1"/>
  <c r="T15" i="1"/>
  <c r="W15" i="1" s="1"/>
  <c r="X15" i="1"/>
  <c r="AB15" i="1"/>
  <c r="AD15" i="1" s="1"/>
  <c r="AF15" i="1"/>
  <c r="AH15" i="1" s="1"/>
  <c r="AJ15" i="1"/>
  <c r="AL15" i="1" s="1"/>
  <c r="AN15" i="1"/>
  <c r="AP15" i="1" s="1"/>
  <c r="B13" i="7"/>
  <c r="O13" i="7"/>
  <c r="Q13" i="7" s="1"/>
  <c r="S13" i="7"/>
  <c r="U13" i="7" s="1"/>
  <c r="W13" i="7"/>
  <c r="Y13" i="7" s="1"/>
  <c r="AA13" i="7"/>
  <c r="AC13" i="7" s="1"/>
  <c r="B14" i="7"/>
  <c r="O14" i="7"/>
  <c r="Q14" i="7" s="1"/>
  <c r="S14" i="7"/>
  <c r="U14" i="7" s="1"/>
  <c r="W14" i="7"/>
  <c r="Y14" i="7" s="1"/>
  <c r="AA14" i="7"/>
  <c r="AC14" i="7" s="1"/>
  <c r="T12" i="1"/>
  <c r="V12" i="1" s="1"/>
  <c r="X12" i="1"/>
  <c r="Z12" i="1" s="1"/>
  <c r="AB12" i="1"/>
  <c r="AD12" i="1" s="1"/>
  <c r="AF12" i="1"/>
  <c r="AH12" i="1" s="1"/>
  <c r="AJ12" i="1"/>
  <c r="AL12" i="1" s="1"/>
  <c r="AN12" i="1"/>
  <c r="AP12" i="1" s="1"/>
  <c r="T11" i="1"/>
  <c r="V11" i="1" s="1"/>
  <c r="X11" i="1"/>
  <c r="Z11" i="1" s="1"/>
  <c r="AB11" i="1"/>
  <c r="AE11" i="1" s="1"/>
  <c r="AF11" i="1"/>
  <c r="AJ11" i="1"/>
  <c r="AN11" i="1"/>
  <c r="AP11" i="1" s="1"/>
  <c r="B12" i="7"/>
  <c r="O12" i="7"/>
  <c r="R12" i="7" s="1"/>
  <c r="S12" i="7"/>
  <c r="U12" i="7" s="1"/>
  <c r="W12" i="7"/>
  <c r="Z12" i="7" s="1"/>
  <c r="AA12" i="7"/>
  <c r="AD12" i="7" s="1"/>
  <c r="AI11" i="1" l="1"/>
  <c r="AH11" i="1"/>
  <c r="AA15" i="1"/>
  <c r="Z15" i="1"/>
  <c r="AA16" i="1"/>
  <c r="Z16" i="1"/>
  <c r="AI13" i="1"/>
  <c r="AH13" i="1"/>
  <c r="AM11" i="1"/>
  <c r="AL11" i="1"/>
  <c r="AM13" i="1"/>
  <c r="AL13" i="1"/>
  <c r="R19" i="7"/>
  <c r="Z18" i="7"/>
  <c r="R20" i="7"/>
  <c r="Q15" i="7"/>
  <c r="R15" i="7"/>
  <c r="V19" i="7"/>
  <c r="AC19" i="7"/>
  <c r="Y17" i="7"/>
  <c r="V16" i="1"/>
  <c r="V15" i="1"/>
  <c r="AM17" i="1"/>
  <c r="AM16" i="1"/>
  <c r="V18" i="7"/>
  <c r="V17" i="7"/>
  <c r="AC20" i="7"/>
  <c r="Z19" i="7"/>
  <c r="V20" i="7"/>
  <c r="AD16" i="7"/>
  <c r="AD17" i="7"/>
  <c r="R17" i="7"/>
  <c r="Q16" i="7"/>
  <c r="Q18" i="7"/>
  <c r="U21" i="7"/>
  <c r="Z21" i="7"/>
  <c r="AD21" i="7"/>
  <c r="R21" i="7"/>
  <c r="AD17" i="1"/>
  <c r="AI15" i="1"/>
  <c r="AA11" i="1"/>
  <c r="AA17" i="1"/>
  <c r="AE15" i="1"/>
  <c r="AI17" i="1"/>
  <c r="W17" i="1"/>
  <c r="AI16" i="1"/>
  <c r="AQ15" i="1"/>
  <c r="AQ14" i="1"/>
  <c r="Z20" i="7"/>
  <c r="AQ17" i="1"/>
  <c r="AQ16" i="1"/>
  <c r="AE16" i="1"/>
  <c r="AM15" i="1"/>
  <c r="AA14" i="1"/>
  <c r="AI14" i="1"/>
  <c r="AA13" i="1"/>
  <c r="AQ13" i="1"/>
  <c r="V14" i="1"/>
  <c r="V13" i="1"/>
  <c r="AE14" i="1"/>
  <c r="AM14" i="1"/>
  <c r="AD18" i="7"/>
  <c r="V16" i="7"/>
  <c r="Z16" i="7"/>
  <c r="V12" i="7"/>
  <c r="AC12" i="7"/>
  <c r="Q12" i="7"/>
  <c r="AD14" i="7"/>
  <c r="V13" i="7"/>
  <c r="Y12" i="7"/>
  <c r="AE13" i="1"/>
  <c r="R14" i="7"/>
  <c r="R13" i="7"/>
  <c r="AQ12" i="1"/>
  <c r="AE12" i="1"/>
  <c r="AM12" i="1"/>
  <c r="AI12" i="1"/>
  <c r="W11" i="1"/>
  <c r="AD13" i="7"/>
  <c r="W12" i="1"/>
  <c r="V14" i="7"/>
  <c r="Z13" i="7"/>
  <c r="AA12" i="1"/>
  <c r="Z14" i="7"/>
  <c r="AD11" i="1"/>
  <c r="AQ11" i="1"/>
  <c r="B11" i="7"/>
  <c r="O11" i="7"/>
  <c r="Q11" i="7" s="1"/>
  <c r="S11" i="7"/>
  <c r="V11" i="7" s="1"/>
  <c r="W11" i="7"/>
  <c r="Z11" i="7" s="1"/>
  <c r="AA11" i="7"/>
  <c r="AC11" i="7" s="1"/>
  <c r="U11" i="7" l="1"/>
  <c r="Y11" i="7"/>
  <c r="AD11" i="7"/>
  <c r="R11" i="7"/>
  <c r="N7" i="1"/>
  <c r="AF10" i="1" l="1"/>
  <c r="AH10" i="1" s="1"/>
  <c r="AN10" i="1" l="1"/>
  <c r="AJ10" i="1"/>
  <c r="AL10" i="1" s="1"/>
  <c r="CK2" i="8" l="1"/>
  <c r="AA10" i="7" l="1"/>
  <c r="AD10" i="7" s="1"/>
  <c r="W10" i="7"/>
  <c r="Z10" i="7" s="1"/>
  <c r="S10" i="7"/>
  <c r="V10" i="7" s="1"/>
  <c r="O10" i="7"/>
  <c r="R10" i="7" s="1"/>
  <c r="B10" i="7"/>
  <c r="J5" i="7"/>
  <c r="AC10" i="7" l="1"/>
  <c r="Q10" i="7"/>
  <c r="U10" i="7"/>
  <c r="Y10" i="7"/>
  <c r="AB10" i="1" l="1"/>
  <c r="C31" i="5" l="1"/>
  <c r="C30" i="5"/>
  <c r="C29" i="5"/>
  <c r="C28" i="5"/>
  <c r="C27" i="5"/>
  <c r="C26" i="5"/>
  <c r="C25" i="5"/>
  <c r="C24" i="5"/>
  <c r="C23" i="5"/>
  <c r="C22" i="5"/>
  <c r="C21" i="5"/>
  <c r="C20" i="5"/>
  <c r="C19" i="5"/>
  <c r="C18" i="5"/>
  <c r="C17" i="5"/>
  <c r="C16" i="5"/>
  <c r="C15" i="5"/>
  <c r="C14" i="5"/>
  <c r="C13" i="5"/>
  <c r="C12" i="5"/>
  <c r="C11" i="5"/>
  <c r="C10" i="5"/>
  <c r="I5" i="5"/>
  <c r="N5" i="1" l="1"/>
  <c r="CJ2" i="2" l="1"/>
  <c r="AP10" i="1" l="1"/>
  <c r="AM10" i="1"/>
  <c r="AD10" i="1"/>
  <c r="X10" i="1"/>
  <c r="Z10" i="1" s="1"/>
  <c r="T10" i="1"/>
  <c r="W10" i="1" s="1"/>
  <c r="AQ10" i="1" l="1"/>
  <c r="AA10" i="1"/>
  <c r="AE10" i="1"/>
  <c r="AI10" i="1"/>
  <c r="V10" i="1"/>
  <c r="AN27" i="1" l="1"/>
  <c r="AP27" i="1" s="1"/>
  <c r="AJ27" i="1"/>
  <c r="X27" i="1"/>
  <c r="AB27" i="1"/>
  <c r="AD27" i="1" s="1"/>
  <c r="T27" i="1"/>
  <c r="V27" i="1" s="1"/>
  <c r="AF27" i="1"/>
  <c r="AI27" i="1" l="1"/>
  <c r="AH27" i="1"/>
  <c r="AA27" i="1"/>
  <c r="Z27" i="1"/>
  <c r="AM27" i="1"/>
  <c r="AL27" i="1"/>
  <c r="AE27" i="1"/>
  <c r="W27" i="1"/>
  <c r="AQ27" i="1"/>
</calcChain>
</file>

<file path=xl/sharedStrings.xml><?xml version="1.0" encoding="utf-8"?>
<sst xmlns="http://schemas.openxmlformats.org/spreadsheetml/2006/main" count="2710" uniqueCount="734">
  <si>
    <t>DATA</t>
  </si>
  <si>
    <t>PREFIXO</t>
  </si>
  <si>
    <t>PROCESSO</t>
  </si>
  <si>
    <t>CIDADE</t>
  </si>
  <si>
    <t>GRAVIDADE</t>
  </si>
  <si>
    <t>LEVE</t>
  </si>
  <si>
    <t>SUPERVISOR</t>
  </si>
  <si>
    <t>TIPO</t>
  </si>
  <si>
    <t>Código</t>
  </si>
  <si>
    <t>CGB-I004</t>
  </si>
  <si>
    <t>Classificação</t>
  </si>
  <si>
    <t>Formulário</t>
  </si>
  <si>
    <t>Descrição</t>
  </si>
  <si>
    <t>Monitoramento dos Eventos Acidentais</t>
  </si>
  <si>
    <t>Processo</t>
  </si>
  <si>
    <t>SESMT</t>
  </si>
  <si>
    <t>Revisão</t>
  </si>
  <si>
    <t>Data</t>
  </si>
  <si>
    <t>Objetivo</t>
  </si>
  <si>
    <t>Empresa</t>
  </si>
  <si>
    <t>PAINEL DE MONITORAMENTO DE EVENTOS ACIDENTAIS</t>
  </si>
  <si>
    <t>Rótulos de Linha</t>
  </si>
  <si>
    <t>Total Geral</t>
  </si>
  <si>
    <t>Contagem de DATA</t>
  </si>
  <si>
    <t>GSTC</t>
  </si>
  <si>
    <t>PRESIDENTE DUTRA</t>
  </si>
  <si>
    <t>PDT</t>
  </si>
  <si>
    <t>BRUNO ALBUQUERQUE</t>
  </si>
  <si>
    <t>LESÃO</t>
  </si>
  <si>
    <t>SEM AFASTAMENTO</t>
  </si>
  <si>
    <t>MÊS</t>
  </si>
  <si>
    <t>BASE</t>
  </si>
  <si>
    <t>1. PRAZO</t>
  </si>
  <si>
    <t>2. PRAZO</t>
  </si>
  <si>
    <t>1. REALIZAÇÃO</t>
  </si>
  <si>
    <t>1. DIAS</t>
  </si>
  <si>
    <t>1. STATUS</t>
  </si>
  <si>
    <t>2. REALIZAÇÃO</t>
  </si>
  <si>
    <t>2. DIAS</t>
  </si>
  <si>
    <t>2. STATUS</t>
  </si>
  <si>
    <t>3. PRAZO</t>
  </si>
  <si>
    <t>3. REALIZAÇÃO</t>
  </si>
  <si>
    <t>3. DIAS</t>
  </si>
  <si>
    <t>3. STATUS</t>
  </si>
  <si>
    <t>4. PRAZO</t>
  </si>
  <si>
    <t>4. REALIZAÇÃO</t>
  </si>
  <si>
    <t>4. DIAS</t>
  </si>
  <si>
    <t>4. STATUS</t>
  </si>
  <si>
    <t>5. PRAZO</t>
  </si>
  <si>
    <t>5. REALIZAÇÃO</t>
  </si>
  <si>
    <t>5. DIAS</t>
  </si>
  <si>
    <t>5. STATUS</t>
  </si>
  <si>
    <t>6. PRAZO</t>
  </si>
  <si>
    <t>6. REALIZAÇÃO</t>
  </si>
  <si>
    <t>6. DIAS</t>
  </si>
  <si>
    <t>6. STATUS</t>
  </si>
  <si>
    <t>7. REALIZAÇÃO</t>
  </si>
  <si>
    <t>8. REALIZAÇÃO</t>
  </si>
  <si>
    <t>Garantir a comunicação, investigação, divulgação dos eventos e as ações corretivas.</t>
  </si>
  <si>
    <t>NOME DO COLABORADOR</t>
  </si>
  <si>
    <t>Nº DA CAT</t>
  </si>
  <si>
    <t/>
  </si>
  <si>
    <t>Monitoramento dos Icidentes</t>
  </si>
  <si>
    <t>PAINEL DE MONITORAMENTO DE INCIDENTES</t>
  </si>
  <si>
    <t>7. ÍNICIO</t>
  </si>
  <si>
    <t>7. FIM</t>
  </si>
  <si>
    <t>Monitorar o acontecimento de descaracterização de acidentes nas seccionais.</t>
  </si>
  <si>
    <t>Monitoramento de não acidentes de trabalho</t>
  </si>
  <si>
    <t>COLABORADOR</t>
  </si>
  <si>
    <t>Jan</t>
  </si>
  <si>
    <t>Dias sem acidentes com afastamento</t>
  </si>
  <si>
    <t>DESCRIÇÃO</t>
  </si>
  <si>
    <t>TTM001</t>
  </si>
  <si>
    <t xml:space="preserve">A equipe TTM001 deslocava para garagem ao sinalizar com antecedência a intenção da conversão à esqueda para rua trans mil reis quando reduziram a velocidade para entrar na rua uma moto de cor verde veio em alta velocidade sem placa acabou colidindo na porta do lado do condutor da viatura QYV8I69 o condutor que vinha desatento e com sinais de embriaguez acabou colidindo na viatura causando danos um pequeno amasso e riscados na porta o mesmo não caiu da moto e evadiu-se do local antes que a equipe descesse da viatura. </t>
  </si>
  <si>
    <t>NATANAEL SILVA BALTAZAR</t>
  </si>
  <si>
    <t>ESP001</t>
  </si>
  <si>
    <t>Equipe após atender uma ocorrência no povoado centro do machado zona rural de são roberto, quando estavam retornando, surgiu uma BROS VERMELHA que vinha em velocidade um pouco acima do limite da via e passou tocando na lateral da viatura do lado esquerdo, pois havia uma plantadeira manual de grãos na motocicleta atravessada de forma irregular (nao houve nenhuma lesao com o condutor da motocicleta) apenas danos materiais na viatura.</t>
  </si>
  <si>
    <t>EVERTON SIQUEIRA</t>
  </si>
  <si>
    <t>PEDREIRAS</t>
  </si>
  <si>
    <t>PDS</t>
  </si>
  <si>
    <t>EQUIPE ESP001</t>
  </si>
  <si>
    <t>TERCEIROS ENVOLVIDOS</t>
  </si>
  <si>
    <t>FRANCISCO FÁBIO FERREIRA DE SOUSA</t>
  </si>
  <si>
    <t>PDT302</t>
  </si>
  <si>
    <t>GOMAN</t>
  </si>
  <si>
    <t>Na manhã do dia  24/01/2024 por volta das 11:30h a equipe PDT302 estava realizando uma obra de universalização rural “UNR-0151” onde no momento da implantação de um dos postes, o colaborador Francisco Fábio Ferreira de Sousa, ao auxiliar na execução da atividade caiu com uma das pernas na cava do poste, tendo uma leve torção no joelho. Colaborador seguiu com o restante da jornada de trabalho sem apresentar queixas de dores. Entretendo ao chegar em suas residência já no período da noite entrou em contato reclamando de dores e inchaços no joelho. Amanhã irá ao pronto socorro verificar se ouve lesão que gere afastamento.</t>
  </si>
  <si>
    <t>HUGO PORTELA</t>
  </si>
  <si>
    <t>NÃO</t>
  </si>
  <si>
    <t>FERNANDO FALCÃO</t>
  </si>
  <si>
    <t>1.1.0000000023944876062</t>
  </si>
  <si>
    <t>A equipe STI350, realizava uma atividade de substituição de poste na obra “MMT0062” onde no momento da transferência dos cabos do poste antigo para o poste novo, os colaboradores  Dallis Araújo e Marcone Borba, posicionaram o cabo by-passado em cima da cruzeta onde o lençol inteiro estava envolvido corretamente sobre ela, porém o cabo não estava 100 % coberto, ao colocar o cabo em cima da cruzeta, houve o arco que segundo os eletricistas, foi pelo lado interno do lençol, sendo assim, tirando o alimentador de operação.</t>
  </si>
  <si>
    <t>JOCIVAN SOUSA</t>
  </si>
  <si>
    <t>SANTA LUZIA</t>
  </si>
  <si>
    <t>STI</t>
  </si>
  <si>
    <t>Por volta das 16:40 horas a equipe estaiou uma árvore e projetou a queda da mesma para um determinado sentido (paralelo à rede de energia elétrica), porém o tronco da árvore estava oco e não foi observado no momento do corte pela equipe, assim, o vegetal caiu muito próximo à rede de energia elétrica onde um dos galhos tocou no cabo vindo a desenergizar duas fazes do circuito BCB01C8, total de clientes afetados -1.</t>
  </si>
  <si>
    <t>WERBETH CARVALHO</t>
  </si>
  <si>
    <t>BACABAL</t>
  </si>
  <si>
    <t>BCB</t>
  </si>
  <si>
    <t>A equipe estava em deslocamento na BR135 nas proximidades do povoado entroncamento quando o veiculo da frente para não bater em um caminhão que estava a sua frente fez uma frenagem repentina, com o nossa viatura chegou a tocar levemente na traseira do veiculo do terceiro causando um leve dano.</t>
  </si>
  <si>
    <t>EQUIPE ITM001</t>
  </si>
  <si>
    <t>ITM001</t>
  </si>
  <si>
    <t>SIM</t>
  </si>
  <si>
    <t>ARLISON ROGERIO</t>
  </si>
  <si>
    <t>ENTRONCAMENTO</t>
  </si>
  <si>
    <t>ITM</t>
  </si>
  <si>
    <t>EQUIPE FFC001</t>
  </si>
  <si>
    <t>FFC001</t>
  </si>
  <si>
    <t>Equipe FFC001 em deslocamento para inspecionar um componente reincidente na MA 272 na cidade de Fernando falcão ao sinalizar com antecedência a intenção da convenção á esquerda para uma estrada vicinal quando reduziram a velocidade uma moto de cor preta sem placa colidiu no pneu dianteiro da viatura que veio a estourar no momento da colisão ocasionando um pequena avaria na  lataria da viatura do lado do condutor, placa RZY2G26. O condutor da motocicleta caiu  e teve ferimentos leve e foi levado ao hospital, em contato com a família tivemos informações que ele está bem.</t>
  </si>
  <si>
    <t>ZEDEQUIAS SANTOS LIMA</t>
  </si>
  <si>
    <t>STI303</t>
  </si>
  <si>
    <t>BATIDA CONTRA</t>
  </si>
  <si>
    <t>O motoristas  Zedequias Santos Lima ao retirar o caminhão da  base  colediu o porta escada no portão automático, porque o agente de portaria não abriu o portão por completo.</t>
  </si>
  <si>
    <t>MIKEIAS VELOSO</t>
  </si>
  <si>
    <t>SANTA INÊS</t>
  </si>
  <si>
    <t>LUCAS LIMA CARVALHO</t>
  </si>
  <si>
    <t>GERE</t>
  </si>
  <si>
    <t>Ao finalizar a inspeção equipe recolheu todos os materiais e colocou na carroceria da viatura, quando o colaborador foi fecha a tampa da carroceria acabou prensando o dedo polegar da mão direita</t>
  </si>
  <si>
    <t>ANTONIO MARCOS</t>
  </si>
  <si>
    <t>BARRA DO CORDA</t>
  </si>
  <si>
    <t>EQUIPE PDT810</t>
  </si>
  <si>
    <t>PDT810</t>
  </si>
  <si>
    <t>ao passa por uma vala a viatura não conseguiu fazer a travessia por completo. obrigando o condutor da viatura a dar uma ré, ao movimenta a viatura acabou colidindo em outro veículo de placa: LVW-4651,</t>
  </si>
  <si>
    <t>STI552</t>
  </si>
  <si>
    <t>EQUIPE STI552</t>
  </si>
  <si>
    <t>OPERAÇÃO INCORRETA EQP</t>
  </si>
  <si>
    <t>quipe STI552 estava fazendo a inspeção do caminhão (PEC8413), quando foram testar o comando da torre, o colaborador movimentou equivocadamente a alavanca de basculamento do cesto aéreo, assim o cesto aéreo inclinou para um ângulo de 45 graus com o outro colaborador</t>
  </si>
  <si>
    <t>WERBERTH RODRIGUES</t>
  </si>
  <si>
    <t>EQUIPE PDT016</t>
  </si>
  <si>
    <t>PDT016</t>
  </si>
  <si>
    <t>DANO A VEÍCULO</t>
  </si>
  <si>
    <t>ao chegar no local da atividade perceberam que a cavadeira e a alavanca estavam soltas ( Desamarrada ) quando foram manusear as ferramentas para fazer a devida amarração a alavanca tocou acidentalmente no pára-brisa traseiro da viatura RZY0H65 vindo a quebrar</t>
  </si>
  <si>
    <t>PDT802</t>
  </si>
  <si>
    <t>EQUIPE PDT802</t>
  </si>
  <si>
    <t>DANO A PATRIMÔNIO</t>
  </si>
  <si>
    <t xml:space="preserve"> Ao entrar na rua, a equipe identificou que a rua era estreita e havia um caminhão estacionado. Após a identificação dos obstáculos, a equipe resolveu seguir o trajeto, onde acabou colidindo na lateral do caminhão. Não houve vítimas, somente danos materiais.</t>
  </si>
  <si>
    <t>DOM PEDRO</t>
  </si>
  <si>
    <t>Fev</t>
  </si>
  <si>
    <t>EQUIPE BCB350</t>
  </si>
  <si>
    <t xml:space="preserve">a equipe BCB350 estava realizando uma atividade de manutenção de substituição de isolador bastão no PG-2176944, SI-478561. 
A equipe iníciou a atividade trocando as fases "C e B", e quando foram iniciar a trocar a fase "A" , ao tracionar a fase, eles não se atentaram no cruzamento (flay-tape) e veio a curto de fase/fase, o bloqueio do RP </t>
  </si>
  <si>
    <t>SÃO LUIS GONZAGA</t>
  </si>
  <si>
    <t>BCB804 PDS807</t>
  </si>
  <si>
    <t>A equipe se deslocavam para zona rural de Lagoa Grande para regularização de clandestinos quando colidiu com a traseira de outra equipe que trafegava na parte da frente.</t>
  </si>
  <si>
    <t>LAGOA GRANDE</t>
  </si>
  <si>
    <t>EQUIPE BCB805</t>
  </si>
  <si>
    <t>A equipe realizava uma conexão de Ligação Nova em um final de rede multiplex, ao alçar o ramal do cliente o colaborador alçou o ramal na manilha da estrutura de BT gerando um curto-circuito</t>
  </si>
  <si>
    <t>LAGOA DA PEDRA</t>
  </si>
  <si>
    <t>CARLOS ANTONIO DOS SANTOS DE AGUIAR</t>
  </si>
  <si>
    <t>ATINGIDO POR OBJETO</t>
  </si>
  <si>
    <t>Ao cortar um bambu (taboca) com uma foice, o caule veio a cair de ponta em cima do seu pé esquerdo vindo a ferir o local atingido.</t>
  </si>
  <si>
    <t>EQUIPE BCB805 E PDS807</t>
  </si>
  <si>
    <t>EQUIPE PDT302</t>
  </si>
  <si>
    <t>A equipe retornava pela estrada de acesso ao povoado Santa Fé e ao chegar em uma curva foi surpreendida pelo motociclista Wanderson Martins de Araújo (não habilitado) que trafegava pela contra-mão e acabou colidindo sua motocicleta Honda Fan 160, placa NXO 7688 na parte frontal esquerda do caminhão</t>
  </si>
  <si>
    <t>EQUIPE PDT550</t>
  </si>
  <si>
    <t>PDT550</t>
  </si>
  <si>
    <t>Estava podando uma árvore que havia sobre uma rede de bt, ao efetuar corte de um galho, em sua queda, bateu em outro galho abaixo que mudou a direção do trajeto de queda e ao tocar as pontas no chão o tronco mais grosso veio sentido ao vidro da cabine auxiliar, ocasionando a quebra do vidro.</t>
  </si>
  <si>
    <t>EVERALDO NOGUEIRA</t>
  </si>
  <si>
    <t>EQUIPE STI350</t>
  </si>
  <si>
    <t>EQUIPE BCB550</t>
  </si>
  <si>
    <t>FLAVIO TEIXEIRA</t>
  </si>
  <si>
    <t>1.1.0000000024114418919</t>
  </si>
  <si>
    <t>1.1.0000000024466430146</t>
  </si>
  <si>
    <t>NA</t>
  </si>
  <si>
    <t>EQUIPE PLR001</t>
  </si>
  <si>
    <t>PRL001</t>
  </si>
  <si>
    <t>Veiculo estava estacionado em desconformidade com o CBT e foi atingido por um caminhão tipo prancha que transportava uma máquina</t>
  </si>
  <si>
    <t>PAULO RAMOS</t>
  </si>
  <si>
    <t>JHONATAN</t>
  </si>
  <si>
    <t>ADMBVB</t>
  </si>
  <si>
    <t>ADM</t>
  </si>
  <si>
    <t>Durante viagem a PDT ao frear por causa de um cachorro teve a viatura colidida por trás por uma motocicleta</t>
  </si>
  <si>
    <t>PRYSCILLA OLIVEIRA</t>
  </si>
  <si>
    <t>Mar</t>
  </si>
  <si>
    <t>GSRD</t>
  </si>
  <si>
    <t>STI014</t>
  </si>
  <si>
    <t>EQUIPE STI014</t>
  </si>
  <si>
    <t>Equipe se deslocava para a cidade de Bom Jardim quando foi colidida na traseira por veiculo de terceiro placa RZL4E18</t>
  </si>
  <si>
    <t>JOSÉ LUCAS</t>
  </si>
  <si>
    <t>BOM JARDIM</t>
  </si>
  <si>
    <t>WERBETH RODRIGUES</t>
  </si>
  <si>
    <t>Suprvisor foi verificar o estaiamento do vegetal, o corte e a inclinação da árvore, ao passar ao lado do estai a corda que estava tracionando o vegetal rompeu vindo a chicotear</t>
  </si>
  <si>
    <t>EQUIPE PDS350</t>
  </si>
  <si>
    <t>Equipe realizava troca de chave fusível em tranformador e fechou curto circuito na bucha do transformador</t>
  </si>
  <si>
    <t>JOÃO CLIMACO</t>
  </si>
  <si>
    <t>EQUIPE PDT002</t>
  </si>
  <si>
    <t>PDT002</t>
  </si>
  <si>
    <t>Veiculo da CGB avançou a preferencial em uma rotatória atingindo a motocicleta pilotada por condutora não habilitada causando uma pequena lesão na perna direita da vítima</t>
  </si>
  <si>
    <t>Não houve ação da equipe. Segundo eles, pois não perceberam a saída do alimentador.
Com a chegada de uma equipe do plantão no local é foram informados da saída do equipamento.
O supervisor responsável não foi informado pela equipe da situação ocorrida.
O líder Equatorial informou ao coordenador sobre o evento e o motivo da saída do alimentador um dia depois.
Coube ao coordenador informar ao supervisor, que estava em deslocamento para Itapecuru fazer acompanhamento de outras equipes de roço, do evento acontecido.</t>
  </si>
  <si>
    <t>EQUIPE ITM554</t>
  </si>
  <si>
    <t>FLAVIO LEANDRO</t>
  </si>
  <si>
    <t>LIMA CAMPOS</t>
  </si>
  <si>
    <t>RONALDO SAMPAIO</t>
  </si>
  <si>
    <t>PDT350</t>
  </si>
  <si>
    <t>DANOS AO EQUIPAMENTO</t>
  </si>
  <si>
    <t>Lança parou sobre a derivação, bomba não funcionou</t>
  </si>
  <si>
    <t>MR010</t>
  </si>
  <si>
    <t>MRA010</t>
  </si>
  <si>
    <t>DANO A VEICULO</t>
  </si>
  <si>
    <t>Colisão na lateral do veiculo</t>
  </si>
  <si>
    <t>MIRANDA DO NORTE</t>
  </si>
  <si>
    <t>SUSANILSON LEITE DE SOUSA</t>
  </si>
  <si>
    <t>PDS303</t>
  </si>
  <si>
    <t>Colisão na lateral do veiculo, danos no retrovisor</t>
  </si>
  <si>
    <t>MESSIAS ABREU</t>
  </si>
  <si>
    <t>TRIZIDELA DO VALE</t>
  </si>
  <si>
    <t>Rodrigo</t>
  </si>
  <si>
    <t>Manobrando veiculo acabou colidindo no veiculo a frente</t>
  </si>
  <si>
    <t>CTD002</t>
  </si>
  <si>
    <t>Batida na traseira de uma motocicleta de terceiro</t>
  </si>
  <si>
    <t>SÃO DOMINGOS</t>
  </si>
  <si>
    <t>Abr</t>
  </si>
  <si>
    <t>A equipe PDT016 executava a nota 1087658260 LN quando deslocavam para coletar as informações do trafo da área, percebeu que tinha passado direto e ao realizar uma manobra de ré não se atentou na frente da viatura e colidiu com um motociclista na rua lagoa grande no bairro STA Maria. Vindo a derrubar o motociclista que teve uma leva escoriação no punho. 
Colaborador prestou socorro ao envolvido.</t>
  </si>
  <si>
    <t>MATEUS LIMA SANTOS</t>
  </si>
  <si>
    <t>CONTATO COM ELETRICIDADE</t>
  </si>
  <si>
    <t>Colaborador estava realizando a substituição de um ramal monofásico em uma unidade consumidora, ao concluir a instalação no medidor e pontalete em seguida foi realizar as conexões no poste. O empregado subiu na escada para tal e ao realizar o tensionamento do cabo para  alçar no poste da RD de BT Multiplexada não se atentou para o distanciamento deste com a RD de MT no cruzamento, o qual tocou acidentalmente na MT e por conseguinte recebeu um arco elétrico  vindo a sofrer queimaduras na região do tronco.</t>
  </si>
  <si>
    <t>JAMERSON MIRANDA</t>
  </si>
  <si>
    <t>ALTAMIRTA DO MARANHÃO</t>
  </si>
  <si>
    <t>PDT304</t>
  </si>
  <si>
    <t>TIPICO</t>
  </si>
  <si>
    <t>Caborador vinha se queixando de dores nas costas e ao se abaixar para pegar um bloco de concreto, acabou dando mal jeito nas  costas.
Ações Imediatas: 
Caborador vinha se queixando de dores nas costas e ao se abaixar para pegar um bloco de concreto, acabou dando mal jeito nas  costas.</t>
  </si>
  <si>
    <t>EDUASRDO POMBO</t>
  </si>
  <si>
    <t>WANDSON DOS SANTOS ALMEIDA</t>
  </si>
  <si>
    <t>COM AFASTAMENTO</t>
  </si>
  <si>
    <t>ALMOXARIFADO</t>
  </si>
  <si>
    <t>JACKSON</t>
  </si>
  <si>
    <t>TRAJETO</t>
  </si>
  <si>
    <t>Colaborador estava em deslocamento para sua residência no intervalo de almoço pilotando a sua motocicleta (própria), quando o condutor de um Fiat Strada que estava no acostamento na lateral da via, acelerou o veículo para fazer uma conversão à esquerda sem sinalizar. O colaborador não conseguiu reduzir a velocidade à tempo e chocou-se contra a lateral do veículo.</t>
  </si>
  <si>
    <t>JOAO PAULO DA SILVA GARCIA</t>
  </si>
  <si>
    <t>PDT554</t>
  </si>
  <si>
    <t>DANO AO VEICULO</t>
  </si>
  <si>
    <t>Encarregado da equipe de roço da equipe PDT554 Francisco das Chagas, após concluir a atividade de roço no povoado vila real . Foi da ré no veículo e não percebeu o tronco de árvore, vindo a bater no mesmo.</t>
  </si>
  <si>
    <t>Mai</t>
  </si>
  <si>
    <t>FRANCISCO HEBERT DOS SANTOS ARRUDA</t>
  </si>
  <si>
    <t>Executando a nota de Ligação nova(1088958349) ao levar o cabo ramal para fazer a medição e posterior a conexão ao passar em uma sarjeta veio a escorregar e batendo sua perna na quina do meio fio causando um corte no musculo tibial anterior, resultando em 5 pontos.</t>
  </si>
  <si>
    <t>1.1 .0000000025718365954</t>
  </si>
  <si>
    <t>LUIS EDUARDO FARIAS</t>
  </si>
  <si>
    <t xml:space="preserve">A equipe foi direcionada para realizar poda no Pov. Bom Jesus, bairro Arraial, para execução de obra UNP.0191. No local da obra existia uma rede clandestina, que já estava baixa. Ao realizar a poda, um dos galhos caiu sobre a rede clandestina, vindo a realizar contato entre o neutro nú (que estava com retorno de corrente), energizando a cerca de arame farpado. Neste momento, uma criança de 12 anos ao pendurar roupa no arame para secar, veio a tomar choque elétrico. A mãe ao ver o filho sendo eletrocutado, começou a gritar por socorro, quando os colaboradores perceberam o que tinha ocorrido, foram socorrer a criança, retirando-a do arame, levando-a a sua residência e realizando massagem cardíaca, abrindo a boca e desenrolando a língua. Aos poucos, a criança foi reanimada e voltando a sí. </t>
  </si>
  <si>
    <t>DARLEY MORAIS DA SILVA</t>
  </si>
  <si>
    <t>1.1.0000000026040586219</t>
  </si>
  <si>
    <t>FRANCISCO DAS CHAGAS LUZ SILVA</t>
  </si>
  <si>
    <t>Colaborador FRANCISCO DAS CHAGAS LUZ SILVA estava se deslocando na viatura de placa ROT6C71 entre o posto de lavagem credenciado e hotel e no semáforo colódio com um motociclista trazendo danos materiais para o veículo
OBS: As informações ainda estão sendo melhor apuradas pois o condutor que também é encarregado da equipe, não sinalizou nenhuma liderança a respeito do acontecido.</t>
  </si>
  <si>
    <t>EVALDO DA SILVA PREGO</t>
  </si>
  <si>
    <t>Durante inspeção em uma unidade consumidora (UC), a equipe PDS805 instalou a escada no beiral da residência para acessar o pontalete. O eletricista I subiu na escada e pediu ao eletricista II, que estava segurando a escada embaixo, para ir até a viatura buscar uma alça. Nesse momento, a escada deslizou, causando a queda do eletricista.</t>
  </si>
  <si>
    <t>IGARAPÉ GRANDE</t>
  </si>
  <si>
    <t>(vazio)</t>
  </si>
  <si>
    <t>Jun</t>
  </si>
  <si>
    <t>LUCAS SOUSA DE CARVALHO</t>
  </si>
  <si>
    <t>Equipe PDS551 estava realizando poda no comp 1160842 alimentador PDS01C2, quando o colaborador Lucas Sousa de Carvalho , foi podar uma palha de Palmeira com a foice e ao puxar a foice , se desequilibrou e caiu, vindo a machucar as costas,  o mesmo foi encaminhado para o hospital , o mesmo foi medicado e pegou 3 pontos no ferimento.</t>
  </si>
  <si>
    <t>RYKEWMY PEREIRA DOS SANTOS</t>
  </si>
  <si>
    <t>DPO006</t>
  </si>
  <si>
    <t xml:space="preserve">Equipe deslocava de Santo Antônio dos Lopes para Dom Pedro após o atendimento da nota 1090632193 RL. No percurso o colaborador Rykewmy que conduzia a viatura de placa QYV8I69 relatou que cochilou e acabou descendo para o acostamento da BR135 onde veio a colidir com uma placa de sinalização causando danos materiais na viatura o padrinho de segurança da equipe( Felipe da Conceição ) disse que percebeu a mudança de direção da viatura mas para evitar uma situação ainda mais grave não puxou o volante para retomar o percurso pois o risco da mudança brusca de percurso poderia ocasionar o capotamento da viatura o mesmo chamou o parceiro que veio a se alertar e retomou a direção da viatura. Não tivemos lesões com os colaboradores.  </t>
  </si>
  <si>
    <t>TUNTUM</t>
  </si>
  <si>
    <t>INCIDENTE</t>
  </si>
  <si>
    <t>COMUNICADO EQTL</t>
  </si>
  <si>
    <t>EQUIPE STI013</t>
  </si>
  <si>
    <t>Equipe STI013 estava realizando atividade de suspensão de fornecimento de energia na cidade de Pindaré Mirim. Após finalizar a nota 1091354223, a equipe se deslocou para nota 1091359485, quando nesse deslocamento a equipe colidiu em um motoqueiro no cruzamento de duas ruas. Equipe prestou socorro para vítima, ligou para liderança informando o evento. Vítima foi atendida no hospital e logo após liberada pelo médico. Apenas danos materiais na moto do terceiro.</t>
  </si>
  <si>
    <t>PINDARÉ MIRIM</t>
  </si>
  <si>
    <t>Jul</t>
  </si>
  <si>
    <t>TÍPICO</t>
  </si>
  <si>
    <t>OUTROS</t>
  </si>
  <si>
    <t>CARACTERÍSTICA</t>
  </si>
  <si>
    <t>GOLPEADO CONTRA/EM (CORRENDO, COLIDINDO, BATENDO, SOTERRAMENTO)</t>
  </si>
  <si>
    <t>GOLPEADO POR (ATINGIDO POR OBJETO EM MOVIMENTO)</t>
  </si>
  <si>
    <t xml:space="preserve">QUEDA EM ALTURA MAIOR QUE &gt; 2 METROS  </t>
  </si>
  <si>
    <t xml:space="preserve">QUEDA EM ALTURA MENOR QUE &lt; 2 METROS  </t>
  </si>
  <si>
    <t xml:space="preserve">QUEDA NO MESMO NÍVEL (ESCORREGÃO E QUEDA, TROPEÇÃO) </t>
  </si>
  <si>
    <t>ATAQUE DE ANIMAIS/INSETOS</t>
  </si>
  <si>
    <t>ATO DE VIOLÊNCIA</t>
  </si>
  <si>
    <t>DANOS A PROPIEDADE</t>
  </si>
  <si>
    <t>INCÊNDIO (BLEVE/JATO DE FOGO/BOLA DE FOGO)</t>
  </si>
  <si>
    <t>OPERAÇÕES ANORMAIS / DISTÚRBIOS NO PROCESSO</t>
  </si>
  <si>
    <t xml:space="preserve">EXPLOSÃO (NUVEM DE VAPOR/POEIRA/PRESSÃO DE RUPTURA/BLEVE) </t>
  </si>
  <si>
    <t>PEGO (AGARRADO, APERTADO), PEGO (BLOQUEADO, SUSPENSO),</t>
  </si>
  <si>
    <t>PEGO ENTRE OU SOB (ESMAGADO, AMPUTADO)</t>
  </si>
  <si>
    <t xml:space="preserve">CONTATO COM SUBSTÂNCIAS PERIGOSAS </t>
  </si>
  <si>
    <t>EXPLOSÃO (NUVEM DE VAPOR/POEIRA/PRESSÃO DE RUPTURA/BLEVE)</t>
  </si>
  <si>
    <t>FALHA DE EQUIPAMENTO MECÂNICO</t>
  </si>
  <si>
    <t>FALHA DE SISTEMA ELÉTRICO</t>
  </si>
  <si>
    <t>A equipe STI303, realizava o carregamento de Cruzeta Beco de Concreto para a obra PEP-DIF. 0031, quando dois empregados ao posicionar uma cruzeta L na borda da carroceria do caminhão prensou o dedo polegar da mão direita entre a cruzeta e a carroceria. Após o acidente o empregado foi encaminhado para atendimento médico no hospital de Pindaré Mirim.</t>
  </si>
  <si>
    <t>EQUIPE STI303</t>
  </si>
  <si>
    <t>1.1.0000000026947772343</t>
  </si>
  <si>
    <t>A equipe STI400 ao retornar de Alto Alegre do Pindaré para base de Santa Inês, o condutor Luciano Marques de Lemos Júnior fez uma parada no percurso para ir ao sanitário  e ao desembarcar do caminhão torceu o pé direito que inchou de imediato</t>
  </si>
  <si>
    <t>LUCIANO JUNIOR MARQUES DE LEMOS JUNIOR</t>
  </si>
  <si>
    <t xml:space="preserve">No percurso da obra a equipe parou para certificar o PG do poste onde seria executado o Serviço e ao realizar manobra de marcha ré colidiu com terceiro que estava parado atras do caminhão.  </t>
  </si>
  <si>
    <t>FLAVIO SILVA AZEVEDO</t>
  </si>
  <si>
    <t>Ago</t>
  </si>
  <si>
    <t>NATANAEL BARROS CARVALHO</t>
  </si>
  <si>
    <t>A equipe estava realizando a troca do ramal da instalação: 2000007421, localizada na rua:13 de outubro, Bairro vila coelho dias. Essa atividade estava sendo acompanhada pelo Técnico de Segurança da Equatorial, quando o eletricista I após já está posicionado para fazer a conexão do neutro, se movimentou na escada, houve um curto na estrutura, antes da realização da conexão, apesar do curto, a equipe continuou a atividade, decidindo iniciar a conexão, mas ainda houve um segundo curto, o que levou a equipe à investigar qual o motivo do curto e identificar que os condutores do relé da iluminação pública, estavam causando tal situação. Ao identificar a situação, o eletricista desceu e fez a desconexão do fase do relé para poder continuar executando a conexão do ramal do cliente.</t>
  </si>
  <si>
    <t>ANTONIO MARCOS SALAZAR</t>
  </si>
  <si>
    <t>AMAURI REIS ARAUJO ALGO</t>
  </si>
  <si>
    <t>A equipe estava se deslocando de Lago da Pedra para o Povoado caneleiro em Bernardo do Mearim para trabalhar na obra SEG002, quando ao chegar no Povoado Barraquinha , dois jumentos vinha correndo e um deles colidiu com o caminhão de placa RZR1G10, apenas danos materiais na viatura.</t>
  </si>
  <si>
    <t>JOSÉ ROBERTO VIANA</t>
  </si>
  <si>
    <t>Equipe de Linha Viva PDS350estava fazendo uma emenda no alimentador PDS01C4 para implantar um poste, quando ao retirar a catraca após a conclusão da emenda,  o cabo cedeu e tocou em uma rede de baixa tensão que estava a uns 120 metro de distância deles, não houve nem tipo de dano, apenas o alimentador que saiu.</t>
  </si>
  <si>
    <t>EDDY SANTOS</t>
  </si>
  <si>
    <t>Equipe estava trabalhando nas proximidades do alimentador VRF01C5 executando poda de árvores, a equipe podava um dos galhos de uma palmeira que estava em proximidades com a rede de energia elétrica e no momento do corte a palha foi projetada para cima do circuito vindo a fechar curto entre fases, ocasionando assim o rompimento do condutor da fase C.</t>
  </si>
  <si>
    <t>JOSÉ PEDRO GONÇALVES MOURA</t>
  </si>
  <si>
    <t>MATEUS DAVIS DE OLIVEIRA CARNEIRO</t>
  </si>
  <si>
    <t>Marcos Andrade</t>
  </si>
  <si>
    <t>1.1.0000000027541099390</t>
  </si>
  <si>
    <t>Durante a cava do buraco para a implantação do último poste programado, o colaborador que estava orientando o munckeiro na manobra do trado, se desequilibrou e caiu sobre tocos fincados ao solo. No ato de apoiar a mão no
chão, durante a queda, o colaborador teve a parte anterior no braço direito perfurada por um desses tocos, ocasionando em um corte 
moderado. O colaborador foi encaminhado para o pronto-socorro, onde foram realizados os procedimentos médicos necessários, 
que resultaram em uma sutura de oito pontos para fechar o corte. Ao saber do ocorrido o coordenador se dirigiu, junto do técnico 
de obras, para o local do acidente, onde foram colhidos os relatos e evidencias do acidente.</t>
  </si>
  <si>
    <t>ITAPECURU MIRIM</t>
  </si>
  <si>
    <t xml:space="preserve">TRÂNSITO (COLISÃO, DANOS MATERIAIS) </t>
  </si>
  <si>
    <t>Equipe realizava atividade de lançamento de cabo multiplexado na obra REG-0009 em Paulo Ramos, quando o colaborador Danrley Morais da Silva fez a conexão do estribo no neutro no final da BT e quando foi fazer a conexão do neutro com o aterramento, também com o uso da ferramenta Ampact, essa disparou acidentalmente causando uma lesão no dedo indicador esquerdo.</t>
  </si>
  <si>
    <t>Set</t>
  </si>
  <si>
    <t>LAGO DA PEDRA</t>
  </si>
  <si>
    <t>PABLO LOURA</t>
  </si>
  <si>
    <t>RAIMUNDO NONATO</t>
  </si>
  <si>
    <t>Equipe STI016 se deslocava para o primeiro serviço do dia as 08:01 dessa manhã, quando aproximadamente 01 KM da base a equipe percebeu que viatura perdeu força. Equipe  estacionou no acostamento para verificar o ocorrido, ao descer do carro percebeu que havia fumaça e uma labareda de fogo próximo a roda dianteira do lado direito do carro, equipe de imediato ligou para a liderança, fomos até o local com os extintores mas não chegamos a tempo para apagar o princípio do fogo.</t>
  </si>
  <si>
    <t>SANTA INES</t>
  </si>
  <si>
    <t>HERBETHE FRANKLIN BESSA DE MORAES</t>
  </si>
  <si>
    <t>BDC</t>
  </si>
  <si>
    <t>SILVANO JOSÉ DOS PRAZRES</t>
  </si>
  <si>
    <t>Por volta das 15:50hs ao executarem poda de árvores o equipamento motopoda teve um problema na corrente e precisaria regular para concluir a atividade, como faltava uma única árvore para ser podada o encarregado da equipe tomou a decisão de executar ele mesmo a poda com o facão, momento em que golpeou o próprio pulso esquerdo ao manusear o facão.</t>
  </si>
  <si>
    <t>ARARI</t>
  </si>
  <si>
    <t>1.1.0000000028071228742</t>
  </si>
  <si>
    <t>Out</t>
  </si>
  <si>
    <t>RANYELSON DO NASCIMENTO</t>
  </si>
  <si>
    <t>Colaborador 01 (acidentado) estava realizando carregamento de materiais junto com os demais integrantes do almoxarifado, quando solicitou a Cinta de elevação para o outro componente da equipe que estava em cima do caminhão. O componente da equipe que estava em cima do caminhão entregou a cinta (imagem 01), mas o colaborador 01 não se atentou e segurou somente em um lado da cinta de elevação, fazendo com que o gancho na outra extremidade se soltasse (imagem 02) e atingisse a sua boca. Houve uma pequena quebra do dente.</t>
  </si>
  <si>
    <t>JACKSON KENTELLY</t>
  </si>
  <si>
    <t>1.1.0000000028508135867</t>
  </si>
  <si>
    <t>JOÃO PEDRO</t>
  </si>
  <si>
    <t>A equipe PDS-F008, após concluir seu último serviço na IN: 12880154, no povoado Ladeira do Gato, as 16:30, dirigiu-se para a cidade de Vitorino. Durante o trajeto, ao enfrentar uma curva fechada em uma subida, uma motocicleta Bros, de placa NHL 2110, conduzida por uma motorista não habilitada e não estava usando capacete, surgiu no sentido contrário. Ao tentar desviar de um buraco, a condutora colidiu com o retrovisor da viatura, perdendo o controle e caindo da moto.</t>
  </si>
  <si>
    <t>VITORINO FREIRE</t>
  </si>
  <si>
    <t>MAYKON MELO CONCEIÇÃO</t>
  </si>
  <si>
    <t>A equipe ITM302 foi acionada para atendimento da NR 41405 no interior do município de Vargem Grande. Ao tentar acessar o local pelo primeiro caminho, a equipe não conseguiu devido à presença de tubulações quebradas na estrada. Após retornar, optaram por um segundo caminho, onde havia outra tubulação de concreto coberta por terra, não visível ao condutor. Ao passar sobre essa tubulação, ela se rompeu, afundando a roda traseira do caminhão, que inclinou-se para a esquerda e tombou lateralmente. Não houve lesões entre os colaboradores que estavam no caminhão.</t>
  </si>
  <si>
    <t>VARGEM GRANDE</t>
  </si>
  <si>
    <t>MADSON BARROS DE SOUSA</t>
  </si>
  <si>
    <t>TRÂNSITO (TRAJETO)</t>
  </si>
  <si>
    <t>Ao deslocar-se à empresa para iniciar o dia de trabalho, por volta das 07:30h, 02 colaboradores da GOMAN, que trafegavam de moto (PTQ9457), foram atingidos por um carro (FUD7A22) que aparentemente tentou entrar em uma via pela contramão. Devido a colisão, os 02 colaboradores da GOMAN foram arremessados ao chão.</t>
  </si>
  <si>
    <t>1.1.0000000029013615442</t>
  </si>
  <si>
    <t>PAULO SILVA</t>
  </si>
  <si>
    <t>urante o retorno de um atendimento de Ligação Nova no povoado Santa Rosa, a equipe ESP-E001M trafegava pela zona rural, na localidade Pela Galo, quando um terceiro – aparentemente embriagado – invadiu a contramão e colidiu com a lateral da viatura, causando danos ao para-choque e ao pneu dianteiro.</t>
  </si>
  <si>
    <t>ESPERANTINOPOLIS</t>
  </si>
  <si>
    <t>FRANCISCO RODRIGUES</t>
  </si>
  <si>
    <t>A equipe estava trafegando pela via quando se deparou com dois carros parados à frente e, em seguida, realizaram a parada, aguardando a liberação da via. Um veículo de placa ROX9H32, modelo Oroch, marca Renault, de cor branca e adesivado com a empresa Mega Criativa, colidiu com a traseira do veículo da equipe, causando avarias.</t>
  </si>
  <si>
    <t>FRANCISCO ADALTO DE OLIVEIRA</t>
  </si>
  <si>
    <t>DEILTON COSTA</t>
  </si>
  <si>
    <t>A equipe realizava a cobertura da rede de Média Tensão (MT) para a implantação de um poste utilizando o método de Linha Viva. Durante a atividade, os cabos das fases cederam, resultando no contato de uma das fases com a cordoalha do cabo mensageiro, dois vãos após o ponto onde a equipe estava trabalhando.</t>
  </si>
  <si>
    <t>JOSE ROBERTO VIANA</t>
  </si>
  <si>
    <t>EDINAEL DA COSTA MOURA</t>
  </si>
  <si>
    <t>A equipe realizava a cobertura da rede de Média Tensão (MT) para a substituição de um poste utilizando o método de Linha Viva. Após aplicação das coberturas na rede, enquanto desciam o cesto para que a equipe de construção implantar o poste novo, o topo do poste antigo (já em fim de vida útil) ruiu, vindo a cruzeta a se deslocar provocando o contato da fase A (lado rua) com o segundo nível de estrutura.</t>
  </si>
  <si>
    <t>MATHEUS SILVA DOS SANTOS</t>
  </si>
  <si>
    <t xml:space="preserve">A equipe encontrava-se em deslocamento para a cidade de Alto Alegre do Pindaré, com o objetivo de realizar um serviço de medição de nível de tensão do cliente. Durante o trajeto ao realizar o retorno, o veículo da empresa foi atingido na traseira por um Chevrolet Celta, de cor preta, placa NWS-2621. O acidente resultou apenas em danos materiais nos dois veículos. </t>
  </si>
  <si>
    <t>ANTONIO RONILSON LIMA ALMEIDA</t>
  </si>
  <si>
    <t>LOG001</t>
  </si>
  <si>
    <t>LOGISTICA</t>
  </si>
  <si>
    <t>Após carregamento de 01 poste de 16m, o motorista da carreta estava realizando a manobra para saída da subestação, quando a trava traseira do veículo encostou no portão, danificando o mesmo. A parte que tocou no portão, fica oposta da visão do carreteiro.</t>
  </si>
  <si>
    <t>MA-SMT-M001M</t>
  </si>
  <si>
    <t>A equipe trafegava pela via, em deslocamento para atendimento à Nota(11000683989) de Mudança de Medidor de Local, quando se deparou com uma motocicleta que colidiu na lateral do veículo da equipe. De imediato, a equipe parou e prestou socorro ao condutor da motocicleta, uma Honda Biz de cor azul, placa HPR-7448. Foi constatado que o condutor não sofreu ferimentos. Contudo, após o atendimento inicial, o mesmo evadiu-se do local.</t>
  </si>
  <si>
    <t>Durante o manuseio de uma cruzeta de concreto, o equipamento escorregou da mão do colaborador, atingindo a região do maxilar e causando um corte. O colaborador foi encaminhado ao hospital para atendimento e, após os cuidados necessários, retornou às atividades.</t>
  </si>
  <si>
    <t>JHONES DE JESUS RODRIGUES</t>
  </si>
  <si>
    <t>PEDRO HENRIQUE DO NASCIMENTO</t>
  </si>
  <si>
    <t>A equipe BCB-F002 trafegava pela BR-316, no sentido Bacabal, nas proximidades do povoado Santo Antônio, quando, durante a passagem por um quebra-mola, a viatura de placa RUB7D51 foi atingida na parte traseira por um veículo FIAT Siena, cor prata, de placa OIX3I48.</t>
  </si>
  <si>
    <t>MARCELO SOUSA FERNANDES REGADAS</t>
  </si>
  <si>
    <t>Após abertura da escada, apoiá-la no poste e feita a ancoragem na parte inferior da mesma, o colaborador iniciou a escalada enquanto o parceiro a segurava embaixo. Já em certa altura, a parte superior da escada extensiva escorregou descendo alguns degraus até travar na ancoragem inferior. O colaborador se firmou no montante da mesma enquanto escorregava, causando escoriações nos pulsos e quando a escada travou, o impacto fez com que a boca do colaborador atingisse um dos degraus, vindo a quebrar um dos seus dentes.</t>
  </si>
  <si>
    <t>1.1.0000000032391397131</t>
  </si>
  <si>
    <t>NELDSON NELIO COSTA DE OLIVEIRA</t>
  </si>
  <si>
    <t>A equipe retornava da ocorrência nº 061262 com destino à cidade de São Mateus-MA para realizar a troca de turno. Ao tentar realizar uma conversão à direita na Avenida Rodoviária, deparou-se com um caminhão, placa OEP-7353, que trafegava na contramão e colidiu com a lateral do veículo da equipe. Após o impacto, o condutor do caminhão evadiu-se do local.</t>
  </si>
  <si>
    <t>ALTO ALEGRE DO MARANHÃO</t>
  </si>
  <si>
    <t>CHARLES DE SOUSA OLIVEIRA</t>
  </si>
  <si>
    <t>VITOR DE SOUSA LOPES</t>
  </si>
  <si>
    <t>Durante um desligamento programado no PEP MA-2509612MGD1.3.0050, onde a equipe estava realizando a substituição da BT nua, por multiplexada, ao realizar o corte fibra de internet, a mesma não estava ancorada ao poste e sim a outra fibra, que veio a cair sobre a via, onde no momento exato da queda da fibra, vinha passando uma terceira em uma moto com uma passageira na garupa. A fibra resvalou na terceira que pilotava a moto, que se desequilibrou e veio a solo.</t>
  </si>
  <si>
    <t>JOSIEL DE MENESES</t>
  </si>
  <si>
    <t>Durante um desligamento programado no PEP MA-2509612MGD1.3.0050, onde a equipe estava realizando a substituição da BT nua, por multiplexada, o motorista do caminhão precisou dar a volta no quarteirão para retornar ao ponto de início da atividade, mas esqueceu de recolher por completo a patola esquerda do MUNCK. Estando a patola esquerda livre, ao fazer a conversão à direita, essa patola se abriu e veio a colidir com um caminhão baú que estava estacionado ao lado oposto da via.</t>
  </si>
  <si>
    <t>CARLOS DANIEL COUTINHO DA SILVA</t>
  </si>
  <si>
    <t>KEITON SALES ABREU JUNIOR</t>
  </si>
  <si>
    <t>No domingo, dia 13/07, durante o deslocamento de retorno de São Luís para Itapecuru, após a realização de um curso no sábado, o condutor da empresa trafegava pela BR-135 quando, ao se aproximar de um caminhão à sua frente, não percebeu a redução de velocidade do veículo, que freou devido a uma lombada na via. Sem tempo hábil para reação, o condutor colidiu com a traseira do caminhão.</t>
  </si>
  <si>
    <t>Por volta das 11h52, a viatura da equipe de placa RZY1B65, encontrava-se parada devido ao trânsito intenso nas proximidades de uma escola, localizada na RuaPrimeiro de Maio. Enquanto aguardava a liberação da via, um motociclista tentou passar entre a lateral do veículo e um ônibus que trafegava no sentidooposto.</t>
  </si>
  <si>
    <t>LEIZIANE CARVALHO</t>
  </si>
  <si>
    <t>BACABEIRA</t>
  </si>
  <si>
    <t>MAURO CESAR DOS SANTOS</t>
  </si>
  <si>
    <t>WANDERSON DE SOUZA LIMA</t>
  </si>
  <si>
    <t xml:space="preserve">Por volta das 11h32, o colaborador Wanderson realizava a fixação de uma haste de aterramento, utilizando para isso, uma marreta com cabo metálico oco. A fixação estava sendo feita utilizando-se a parte superior da haste dentro do cabo da marreta, com movimentos verticais para golpear o topo da haste e assim fincá-la no solo. Em determinado momento, a parte superior da haste saiu de dentro do cabo da marreta, e no movimento de descida, a mão do colaborador atingiu o topo do haste, causando um corte na palma da mão direita. </t>
  </si>
  <si>
    <t>LAGO DOS RODRIGUES</t>
  </si>
  <si>
    <t>FRANCISCO BARBOSA DE ABREU LIRA</t>
  </si>
  <si>
    <t>CORTE/PERFURAÇÃO</t>
  </si>
  <si>
    <t>No dia 17/07/2025 (quinta-feira), durante o manuseio de um palete de madeira, o item caiu e, ao atingir o solo, causou um pequeno ferimento no pé do colaborador devido à presença de um prego exposto. O ferimento foi superficial, sem sangramento significativo. O colaborador foi encaminhado ao hospital para avaliação médica e, após atendimento, foi liberado sem necessidade de afastamento.</t>
  </si>
  <si>
    <t>JOÃO MARCOS SILVA DE FREITAS</t>
  </si>
  <si>
    <t>Na quarta-feira, dia 23 de julho, a viatura da equipe (placa RZY5E64) deslocava-se para atendimento da nota nº 1103820328 (religação), no bairro Caminho Grande. Ao sinalizar para acessar a Rua José Rodrigues Sobrinho, um motociclista (utilizando capacete), que conduzia sua esposa na garupa (sem capacete), colidiu levemente na parte traseira esquerda do veículo da equipe, resultando na queda de ambos.</t>
  </si>
  <si>
    <t>LEONARDO ESTRELA</t>
  </si>
  <si>
    <t>TIAGO DA SILVA RODRIGUES</t>
  </si>
  <si>
    <t>Colaboradores foram acionados para levar materiais para outras equipes que estavam no atendimento da NR 42943, após retornarem do atendimento, efetuavam o carregamento dos caminhões para as obras do dia seguinte e durante o retorno do canteiro de postes, por volta das 00:58hs, o condutor Tiago da Silva Rodrigues parou o caminhão e aguardava a abertura do portão da empresa. Enquanto esperava, adormeceu momentaneamente ao volante e, ao tirar o pé da embreagem, o caminhão avançou em direção ao portão, que estava sendo aberto pelo porteiro. O veículo colidiu com o portão, que acabou atingindo o porteiro.</t>
  </si>
  <si>
    <t xml:space="preserve">MANOEL GUIMARAES </t>
  </si>
  <si>
    <t>LUIS FILIPE LIMA GONÇALVES</t>
  </si>
  <si>
    <t>MA-PDS-M001M</t>
  </si>
  <si>
    <t>Os colaboradores, conduzia a viatura  para inicio do intervalo de almoço, quando, ao subir a ladeira da Rua das Laranjeiras, no Bairro Goiabal, em Pedreiras/MA, nas proximidades do Fórum, reduziu a velocidade para transpor uma lombada. Nesse momento, um veículo Fiat MOBI, de cor branca, placa DOD-5122, conduzido por um terceiro, colidiu na traseira da viatura. O incidente resultou apenas em danos materiais nos dois veículos, não havendo registro de feridos.</t>
  </si>
  <si>
    <t>PEDRO CARVALHO SILVA</t>
  </si>
  <si>
    <t>O colaborador Pedro foi realizar manobra de estacionamento do veículo da equipePDS400, ao parar o veículo não percebeu uma árvore com galhos em altura que poderia atingir o veículo. Ao encostrar próximo a árvore, o cesto aéreo do veículo colidiu com um galho vindo apresentar avaria no equipamento. O incidente resultou apenas em danos materiais no veículo. Não houveram feridos.</t>
  </si>
  <si>
    <t>ANTONIO ALVES DA SILVA JUNIOR</t>
  </si>
  <si>
    <t>O Antonio Alves foi furar a tampa de um medidor utilizando uma furadeira acoplada a uma serra copo, durando a ação o colaborador apoiou a tampa na parede, ela escorregou levando ao contato da serra copo com a sua mão, que estava protegida com a luva de vaqueta. Diante ao exposto, Antonio sofreu uma pequena lesão no dedo e recebeu os primeiros socorros.</t>
  </si>
  <si>
    <t>1.1.0000000033921360380</t>
  </si>
  <si>
    <t>CARLOS WILTER FREIRE DA COSTA</t>
  </si>
  <si>
    <t>Os colaborador, após a finalização de seu turno de trabalho,  conduzia o veículo da empresa no trajeto entre o município de Joselândia e Presidente Dutra/MA. Ao se aproximar de uma curva, nas proximidades do povoado Barragem, um caminhão que trafegava em sentido contrário com os faróis altos acabou ofuscando sua visão. Devido ao forte encandeamento, o colaborador perdeu momentaneamente a visibilidade da via, vindo a subir no meio-fio e, consequentemente, perdeu o controle do veículo, que acabou saindo da pista e descendo uma ribanceira.</t>
  </si>
  <si>
    <t>RAFAEL DA SILVA E SILVA</t>
  </si>
  <si>
    <t>Após a conclusão de atendimento da nota 1104105678, o colaborador estava encostado na carroceria com o dedo exposto a tampa,  quando o parceiro fez o Fechamento da tampa não percebendo e ocasionando uma pequena lesão no dedo médio, com comprometimento parcial da borda da unha. O colaborador foi prontamente assistido, recebendo os primeiros cuidados, sem necessidade de afastamento.</t>
  </si>
  <si>
    <t>PIO XII</t>
  </si>
  <si>
    <t>1.1.0000000033922958033</t>
  </si>
  <si>
    <t>LUCIFRAN BRANDÃO FREITAS</t>
  </si>
  <si>
    <t>A equipe realizava um retorno na Avenida Luis Osmani Pimentel de Macêdo quando, no momento da conversão, uma motocicleta que seguia atrás da viatura colidiu com a porta da Hilux (placa RUF0E16). Após o impacto, o condutor da motocicleta se evadiu do local, restando apenas danos materiais. Em seguida, a equipe comunicou o ocorrido à liderança.</t>
  </si>
  <si>
    <t>PABLO DOS SANTOS SOUSA</t>
  </si>
  <si>
    <t>MA-BDC-E002M</t>
  </si>
  <si>
    <t>Os colaboradores deslocaram-se da cidade de Barra do Corda/MA em veículo da empresa, com destino à zona rural do município de Barro Branco/MA, para atendimento de uma ocorrência. Durante o trajeto, aproximadamente 5 km antes de chegar ao referido local, o condutor apresentou um cochilo momentâneo ao volante, ocasionando a perda do controle da direção. O veículo saiu da pista e desceu por uma ribanceira. O acidente resultou apenas em danos materiais, não havendo registro de ferimentos entre os ocupantes.</t>
  </si>
  <si>
    <t>MARCOS ALENCAR</t>
  </si>
  <si>
    <t>JOÃO VINICIUS LIMA</t>
  </si>
  <si>
    <t>Durante o deslocamento para o alvo, pela MA-318, a equipe trafegava normalmente quando, após passar por um quebra-mola, uma motocicleta que seguia atrás colidiu com a parte traseira da viatura FIAT Strada (placa SOX8C26).</t>
  </si>
  <si>
    <t>SÃO JOÃO DO CARÚ</t>
  </si>
  <si>
    <t>DIEGO OEREIRA VIANA</t>
  </si>
  <si>
    <t>A equipe encontrava-se em deslocamento para atendimento de uma Ligação Nova (nota: 1104682511), no bairro Green Park, município de Bacabal. Durante o trajeto pela BR-316, na altura do km 361, o eletricista que conduzia a viatura informou que dois veículos à sua frente (caminhonetes) realizaram uma freada brusca. Nesse momento, ocorreu uma colisão envolvendo o último veículo da sequência, uma caminhonete Ford Ranger, cor cinza, placa SMP7G45, que trafegava em velocidade compatível com a via.</t>
  </si>
  <si>
    <t>MELKE RODRIGUES CASTRO</t>
  </si>
  <si>
    <t>EQUIPE REALIZOU O CARREGAMENTO DENTRO DA OBRA UNR 746 COM TRÊS POSTE 300/11 EM SEGUIDA SE DESLOCOU PARA A MESMA, COM OS OCUPANTES TRÊS COLABORADORES NA CABINE FRONTAL E DOIS NA CABINE AUXILIAR AONDE A OUTRA EQUIPE ESTAVA TRABALHANDO NA ABERTURA DE CAVA, TINHA UMA ENTRADA ANTES A ESQUERDA E ENTRARAM AO DESCER A LADEIRA TINHA UMA CRATERA  E OS MESMO PASSARAM E LOGO EM SEGUIDA PERCEBERAM QUE TINHA ENTRADO ERRADO OS DOIS OCUPANTES QUE ESTAVA NA CABINE AUXILIAR DESCERAM PARA AUXILIAR O MOTORISTA A VOLTAR DE MACHA RÉ E A POUCOS  METROS AO RETORNAR O CAMINHÃO PATINOU NA BARREIRA DA CRATERA E DEPOIS TOMBOU PARA O LADO DO MOTORISTA</t>
  </si>
  <si>
    <t>ALEXANDRO ANSCIMENTO DA SILVA</t>
  </si>
  <si>
    <t>Durante o deslocamento para a obra, o motorista conduzia o caminhão de placa PDY-2953 pela Rua Edmilson Pereira quando, ao passar por uma van que estava estacionada, a carroceria do veículo encostou no retrovisor da mesma, ocasionando danos materiais.</t>
  </si>
  <si>
    <t>SÃO DOMINGOS DO MARANHÃO</t>
  </si>
  <si>
    <t>A equipe ITM-E002M foi designada para atender à nota 1105293950. Ao se aproximar de um sinal de trânsito, a viatura efetuou a parada devido ao sinal estar fechado. Quando o sinal abriu, o veículo Ford KA, placa PSX-3253, que estava estacionado no lado direito da via, iniciou uma manobra para a esquerda. Nesse momento, o veículo colidiu lateralmente com a viatura da equipe, causando pequenos arranhões na viatura e um leve arranhão no retrovisor do Ford KA.</t>
  </si>
  <si>
    <t>FABRICIO ALVES DE ARAUJO</t>
  </si>
  <si>
    <t>CELIO MORAIS</t>
  </si>
  <si>
    <t>Equipe de poda realizava atividade de poda de vegetação em proximidades com a rede de baixa tensão, na localidade de Pindaré Mirim, quando ao podar um galho o mesmo resvalou na rede secundária vindo a tocar nas fases B e C, onde houve um contato entre estas rompendo a fase B.</t>
  </si>
  <si>
    <t>O colaborador Janes da Costa Melo (Equipe PDS303) ao realizar limpeza do porta cartucho da ferramenta Impact, não observou que havia cartucho não deflagrado. Ao tentar retirar o cartucho da ferramenta, houve disparo acidental e um fragmento atingiu sua testa causando perfuração. No momento disparo acidental, o colaborador fazia uso de capacete, óculos de segurança e balaclava.</t>
  </si>
  <si>
    <t>JANES DA COSTA MELO</t>
  </si>
  <si>
    <t>LAGO DO JUNCO</t>
  </si>
  <si>
    <t>RUAN VICTOR LIMA SIRQUEIRA</t>
  </si>
  <si>
    <t>No momento do deslocamento para atendimento de uma nota de Suspensão do Fornecimento, a equipe STI-F001, composta pelos colaboradores Ruan Victor Lima Sirqueira e Arthur Vinicius Neves Marques, realizava a travessia da BR-316, em um trecho devidamente sinalizado com semáforos.
Durante a travessia, o semáforo indicava sinal verde, autorizando a passagem da viatura utilizada pela equipe. No entanto, um veículo de terceiros, modelo Volkswagen Gol, cor branca, placa OJH-3B75, avançou o sinal vermelho e colidiu com a lateral da viatura da equipe.</t>
  </si>
  <si>
    <t>LUIS FILIPE</t>
  </si>
  <si>
    <t>A equipe MA-ESP-E001M, composta pelos colaboradores Vinícius e Maurício, retornava da INC 148563910, quando, ao passar pelo povoado Lagoa Bonita, sentido Esperantinópolis, se deparou com uma patrol da prefeitura da cidade de Poção de Pedras transitando na via. Durante a tentativa de ultrapassagem, a equipe sinalizou corretamente sua intenção de passagem, no entanto, o motorista da PATROL realizou uma conversão repentina à esquerda, colidindo com a lateral do veículo operacional da CGB.</t>
  </si>
  <si>
    <t>PORÇÃO DE PEDRAS</t>
  </si>
  <si>
    <t>VINICIUS CONCEIÇÃO DA SILVA</t>
  </si>
  <si>
    <t>EZEQUIAS ARAUJO DE OLIVEIRA</t>
  </si>
  <si>
    <t xml:space="preserve">Na execução da atividade de uma REATIVAÇÃO, a equipe colocou a escada singela no poste metálico de 5 metros para repor o ramal do cliente, no início da subida do eletricista na escada para aplicação do ramal o poste metálico arriou causando a queda. </t>
  </si>
  <si>
    <t>ZÉ DOCA</t>
  </si>
  <si>
    <t>EDSON TENAKS DOS SANTOS</t>
  </si>
  <si>
    <t>LEVANTADOR</t>
  </si>
  <si>
    <t xml:space="preserve">Na execução da atividade de levantamento de obras, o colaborador estava em deslocamento no perímetro urbano de Itapecuru Mirim, quando trafegava por uma avenida o colaborador veio a sofrer uma queda com a moto (causa a ser apurada) no momento em que ocorreu a queda, chovia na cidade, foi encaminhado ao hospital da cidade, passou por atendimento médico, tendo sua alta no mesmo dia sem afastamento. </t>
  </si>
  <si>
    <t>CRISTOPHE DANIEL</t>
  </si>
  <si>
    <t>JACKSON FABIO FARIAS GONÇALVES</t>
  </si>
  <si>
    <t xml:space="preserve">Equipe estava em deslocamento quando dois jumentos atravessaram a estrada correndo e para não bater neles o condutor foi desviar vindo a bater na cerca, causando dando a viatura </t>
  </si>
  <si>
    <t>ALTO ALEGRE DO PINDARÉ</t>
  </si>
  <si>
    <t>O colaborador da equipe ITM-E002M, conduzindo a viatura SMP-6C66, deslocava-se para o intervalo de almoço pela Rua Raimundo Álvaro Mendes quando, no cruzamento com a Rua Felício Cassios, ocorreu uma colisão com um VW Gol, placa HQC-9593.</t>
  </si>
  <si>
    <t>JOSELANDIA</t>
  </si>
  <si>
    <t>FERNANDO DOS SANTOS</t>
  </si>
  <si>
    <t xml:space="preserve">Equipe ZDC-M001 estava em deslocamento retornando de um DS da localidade de nova conquista, o condutor ao avistar um cavalo foi desviar vindo a bater na cerca, causando danos a viatura </t>
  </si>
  <si>
    <t>ALAN ARAUJO DA CONCEIÇÃO</t>
  </si>
  <si>
    <t xml:space="preserve"> Equipe PDT-E001 estava em deslocamento  a uma RL, religação no Bairro Campo Dantas, o condutor estava parado em um cruzamento aguardando o trânsito passar para seguir adiante, nesse momento duas motocicletas colidiram uma na outra após um quebra molas seguindo em direção a viatura da equipe que estava parada vindo a colidir na equipe, causando danos a viatura </t>
  </si>
  <si>
    <t>FERNANDO MELO DA COSTA</t>
  </si>
  <si>
    <t>SÃO ROBERTO</t>
  </si>
  <si>
    <t>A equipe PDS-350 realizava deslocamento de Pedreiras com destino ao Povoado Três Lagoas dos Piraca, no município de São Raimundo Doca Bezerra/MA, para instalação de banco de capacitores em atendimento à SI81453, alimentador LGM01C1. Ao se aproximar do Povoado Café Sem Troco, no trecho entre os municípios de Esperantinópolis e São Roberto/MA, o caminhão reduziu a velocidade para transposição de uma lombada, momento em que uma motocicleta conduzida por terceiro colidiu na parte traseira do veículo.</t>
  </si>
  <si>
    <t>RAFAEL CHAGAS DA COSTA</t>
  </si>
  <si>
    <t>Equipe MA-STL-M001M, estava  em deslocamento após término da atividade, quando em certo momento do trajeto a equipe foi realizar uma conversão à esquerda, e foi surpreendida por um motoqueiro em alta velocidade na direção contrária, que acertou de raspão a viatura e logo após caiu.</t>
  </si>
  <si>
    <t>SANTA LUZIA DO TIDE</t>
  </si>
  <si>
    <t>LUIS FILLYPE LIMA</t>
  </si>
  <si>
    <t>A equipe MA-BCB-E003M retornava, por volta das 17h16, do atendimento da nota nº 1109425686, referente a ligação nova, do povoado Brejinho com destino à cidade de Bacabal. Durante o trajeto, entre os povoados Brejinho e Aldeia, houve parada do veículo a pedido de um colaborador para atender a uma necessidade fisiológica.</t>
  </si>
  <si>
    <t xml:space="preserve">QUEDA DE DIFERENÇA DE NIVEL </t>
  </si>
  <si>
    <t>TRÂNSITO (COLISÃO, TOMBAMENTO, DANOS MATERIAIS)</t>
  </si>
  <si>
    <t>JOSÉ RIBAMAR SILVA</t>
  </si>
  <si>
    <t>O colaborador realizava a abertura de caminho para acesso ao local de trabalho quando, ao utilizar um facão, atingiu o próprio pé esquerdo.</t>
  </si>
  <si>
    <t>WERBETH</t>
  </si>
  <si>
    <t>MA-STL-M001M</t>
  </si>
  <si>
    <t>MA-BCB-E003M</t>
  </si>
  <si>
    <t>MA-STI-C002M</t>
  </si>
  <si>
    <t>MA-STI-D002M</t>
  </si>
  <si>
    <t>MA-LDP-M001M</t>
  </si>
  <si>
    <t>MA-ATM-E001M</t>
  </si>
  <si>
    <t>MA-ESP-E001M</t>
  </si>
  <si>
    <t>MA-BCB-C001M</t>
  </si>
  <si>
    <t>MA-SMT-E001M</t>
  </si>
  <si>
    <t>MA-ITM-C001M</t>
  </si>
  <si>
    <t>MA-SJB-E001M</t>
  </si>
  <si>
    <t>MA-PIO-E001M</t>
  </si>
  <si>
    <t>MA-ODC-M001M</t>
  </si>
  <si>
    <t>MA-ITM-E002M</t>
  </si>
  <si>
    <t>MA-ZDC-M001M</t>
  </si>
  <si>
    <t>MA-ALT-E001M</t>
  </si>
  <si>
    <t>MA-PDT-E001M</t>
  </si>
  <si>
    <t>JOSE BONIFACIO MARQUES</t>
  </si>
  <si>
    <t>A equipe MA-STI-E001M estava em deslocamento para encerramento do turno quando houve colisão traseira da viatura com um caminhão que se encontrava  frente na via, resultando em danos materiai</t>
  </si>
  <si>
    <t>MA-STI-E001M</t>
  </si>
  <si>
    <t>LUCAS MATIAS DA SILVA</t>
  </si>
  <si>
    <t xml:space="preserve">O colaborador Lucas Matias da Silva estava se deslocando até o campo de postes da CGB para contagem de materiais.No meio do percurso, em upontodeumaesquina estreita, o condutor avistou um carro que se aproximava no sentido contrário, e teve a percepção que os dois veículos encostariam um no outro com possibilidade de dano nos dois carros. </t>
  </si>
  <si>
    <t>CAMILA</t>
  </si>
  <si>
    <t>DANIZAR DE PAIVA VALE</t>
  </si>
  <si>
    <t>A equipe MA-PDT-F006M encontrava-se em deslocamento para atendimento de uma NR no município de Gonçalves Dias/MA. Durante o trajeto, ao permanecer parada em um ponto de controle de tráfego do tipo “pare e siga”, após a liberação do fluxo de veículos, uma carreta realizou ultrapassagem irregular da fila de veículos que aguardavam a liberação, vindo a colidir lateralmente com o retrovisor da viatura da equipe, a qual ainda permanecia imobilizada, aguardando condições seguras para retomar o deslocamento.</t>
  </si>
  <si>
    <t>MA-PDT-F006M</t>
  </si>
  <si>
    <t>MA-PDT-O032M</t>
  </si>
  <si>
    <t>MA-STI-V001M</t>
  </si>
  <si>
    <t>MA-BCB-P001M</t>
  </si>
  <si>
    <t>MA-BCB-V001M</t>
  </si>
  <si>
    <t>MA-PDS-V001M</t>
  </si>
  <si>
    <t>MA-PDS-P001M</t>
  </si>
  <si>
    <t>MA-PDS-P002M</t>
  </si>
  <si>
    <t>MA-STI-O003M</t>
  </si>
  <si>
    <t>MA-STI-T001M</t>
  </si>
  <si>
    <t>MA-STI-P001M</t>
  </si>
  <si>
    <t>MA-BDC-O003M</t>
  </si>
  <si>
    <t>MA-ITM-P001M</t>
  </si>
  <si>
    <t>MA-ITM-O002M</t>
  </si>
  <si>
    <t>MA-PDT-O031M</t>
  </si>
  <si>
    <t>MA-BCB-Q001M</t>
  </si>
  <si>
    <t>MA-PDT-V001M</t>
  </si>
  <si>
    <t>MA-BCB-O007M</t>
  </si>
  <si>
    <t>MA-BDC-O004M</t>
  </si>
  <si>
    <t>MA-PDT-O034M</t>
  </si>
  <si>
    <t>MA-STI-P002M</t>
  </si>
  <si>
    <t>MA-PDT-F001M</t>
  </si>
  <si>
    <t>MA-BCB-F004M</t>
  </si>
  <si>
    <t>MA-PDS-F005M</t>
  </si>
  <si>
    <t>MA-PDS-F008M</t>
  </si>
  <si>
    <t>MA-BCB-F002M</t>
  </si>
  <si>
    <t>MA-STI-F003M</t>
  </si>
  <si>
    <t>MA-BCB-F006M</t>
  </si>
  <si>
    <t>MA-BCB-F003M</t>
  </si>
  <si>
    <t>MA-STI-F001M</t>
  </si>
  <si>
    <t>LOG006</t>
  </si>
  <si>
    <t>MA-BCB-P004M</t>
  </si>
  <si>
    <t>MA-ITM-P005M</t>
  </si>
  <si>
    <t>EVERALDO NOGUEIRA FILHO</t>
  </si>
  <si>
    <t>Próximo a PRF de Peritoró, parei a viatura no acostamento, para atender necessidades fisiológicas e quando sai do carro notei uma carreta que se aproximava em alta velocidade. Vendo a situação, encostei-me na lateral do carro e aguardei a carreta passar. Quando a carreta passou o deslocamento do ar fez a porta do motorista se abrir, (não estava trancada) vindo a bater contra a lateral do baú e amassado a porta.</t>
  </si>
  <si>
    <t>RICARDO MALTA</t>
  </si>
  <si>
    <t>PERITÓRO</t>
  </si>
  <si>
    <t>1.1.0000000037831998173</t>
  </si>
  <si>
    <t>MARCOS ANTONIO DA SILVA</t>
  </si>
  <si>
    <t>ADMINISTRATIVO</t>
  </si>
  <si>
    <t xml:space="preserve">Em uma conversão a esquerda, na  Avenida Campo Dantas, um jovem com nome Marcos Antônio Alves Lima conduzindo uma Honda Cb500 cilindradas, fez a ultrapassagem indevida e bateu de raspão na lateral do carro, na porta esquerda, o condutor da moto estava atrás do carro vindo no mesmo sentido. </t>
  </si>
  <si>
    <t>JOSE MARIA FELIPE</t>
  </si>
  <si>
    <t>Informamos que a equipe PDS303 estava em deslocamento para atendimento de uma NR, no trajeto entre os municípios de Lago da Pedra e Paulo Ramos, quando uma caçamba que vinha em sentido contrário invadiu a contramão ao tentar desviar de um buraco na pista, ocasionando colisão entre os retrovisores dos dois veículos.
Onde o colaborador Zé Maria (motorista) foi atingido por estilhaços do vidro que quebrou, sofrendo pequenos cortes superficiais no rosto. Foi encaminhado ao hospital, e após realização dos primeiros socorros o colaborador foi liberado, para retornar as atividades.</t>
  </si>
  <si>
    <t>SANTO ANTONIO DOS LOPES</t>
  </si>
  <si>
    <t>CICERO VIEIRA DOS SANTOS</t>
  </si>
  <si>
    <t>Em um trecho de areia, com vegetação alta, o caminhão estava carregado com dois postes danificados da ocorrência. Ao passar pelo local, um galho de árvore entrou entre os postes e danificou a cabine auxiliar.
Ao perceber que algo havia atingido o caminhão, o motorista parou o veículo e verificou que havia um galho preso aos postes. Devido à baixa luminosidade no momento, o motorista não visualizou o galho anteriormente.
Em seguida, o encarregado entrou em contato com a supervisão, evidenciando e relatando o ocorrido.</t>
  </si>
  <si>
    <t>ARLISON ROGERIO MARTINS</t>
  </si>
  <si>
    <t>o veiculo de placa SMP0E62 (CGB) modelo polo estava parado quando um veículo FIAT strada de placa SMX8H99 tentou desviar de uma animal, perdeu o controle e chocou-se contra o veiculo da CGB causando danos materiais.</t>
  </si>
  <si>
    <t>o veiculo de placa SMP0E65 (CGB) modelo polo estava em deslocamento lento atrás de outros veículos que estavam mais lentos quando um caminhão de placa PTT8G06 bateu na traseira da Mitsubishi L200 de placa SJW8C53 que por fim chocou-se contra a traseira do veiculo da CGB causando danos materiais.</t>
  </si>
  <si>
    <t>FLAVIO TEXEIRA DE BRITO</t>
  </si>
  <si>
    <t>MA-TTM-E001M</t>
  </si>
  <si>
    <t>Ao retornar de uma ocorrência (INC 416036528) na localidade Baixão Grande, no município de Tuntum, por volta das 00h30, a equipe TTM-E001M realizava deslocamento quando o condutor da viatura iniciou uma conversão à esquerda, no sentido da Garagem.
Durante a manobra, dois indivíduos que trafegavam em uma motocicleta modelo Pop 110, em alta velocidade, tentaram realizar uma ultrapassagem e acabaram colidindo com a lateral da viatura.
Do ocorrido, foram registrados apenas danos materiais. A motocicleta envolvida não possuía placa de identificação.</t>
  </si>
  <si>
    <t>FRANCISCA GLEYCIMARA</t>
  </si>
  <si>
    <t>EDVAN DRO NASCIMENTO SILVA</t>
  </si>
  <si>
    <t>O veículo de placa ROU6E53 (CGB) modelo VW/DELIVERY (Caminhão da equipe TAT)  estava em deslocamento para o município de Vitorino Freire, ao realizar a conversão à direita para sair da Rua Djalma Dutra em Bacabal, para acessar a Rodovia Cap. Pedro Teixeira, o veículo da placa ROQ7J27 fez uma ultrapassagem pela direita e colidiu na lateral direita traseira do caminhão ROU6E53 atingindo a carroceria do caminhão, não houve danos no veículo da CGB. O terceiro evadiu-se do local.</t>
  </si>
  <si>
    <t>LUIS GONZAGA DA CONCEIÇÃO</t>
  </si>
  <si>
    <t>JULIO CESAR CAMPOS SILVA</t>
  </si>
  <si>
    <t>Por volta de 00h30, nas proximidades da entrada do município de Esperantinópolis, o condutor da viatura apresentou um possível episódio de sonolência momentânea, resultando na saída do veículo da pista, perda de controle direcional e colisão com uma estrutura pertencente ao alimentador IGG09N1, da Equatorial.</t>
  </si>
  <si>
    <t>RAIMUNDO HERMESSON</t>
  </si>
  <si>
    <t>JEFFERSON DE SOUSA ALVES</t>
  </si>
  <si>
    <t xml:space="preserve">A equipe realizou o carregamento de um poste no caminhão da placa (RZR6B37) e após retirar a cinta do poste, o motorista acidentalmente acionou a alavanca do giro do munck deslocando o poste lateralmente e derrubando o poste de cima da carroceria atingindo a sapata do munck. O operador realizava o manuseio do munck pelo lado oposto da carga conforme procedimento e os auxiliares já haviam retirado a corda guia, o que livrou de ser atingido pelo poste durante a queda. </t>
  </si>
  <si>
    <t>Ano</t>
  </si>
  <si>
    <t>TG</t>
  </si>
  <si>
    <t>TF</t>
  </si>
  <si>
    <t>Mês</t>
  </si>
  <si>
    <t>Meta TG</t>
  </si>
  <si>
    <t>Meta TF</t>
  </si>
  <si>
    <t>MA-PDS-T001M</t>
  </si>
  <si>
    <t>ADM002</t>
  </si>
  <si>
    <t>MA-BCB-T001M</t>
  </si>
  <si>
    <t>MA-PDS-O002M</t>
  </si>
  <si>
    <t>MA-PDS-O001M</t>
  </si>
  <si>
    <t>MA-PDS-O003M</t>
  </si>
  <si>
    <t>TFCA</t>
  </si>
  <si>
    <t>ICAD</t>
  </si>
  <si>
    <t>ICIT</t>
  </si>
  <si>
    <t>ICIA</t>
  </si>
  <si>
    <t>TFA</t>
  </si>
  <si>
    <t>TGA</t>
  </si>
  <si>
    <t>IPWS</t>
  </si>
  <si>
    <t>NDGS</t>
  </si>
  <si>
    <t>NO PRAZO</t>
  </si>
  <si>
    <t>JADSON CUNHA CAMPOS</t>
  </si>
  <si>
    <t>MA-STL-E001M</t>
  </si>
  <si>
    <t>equipe estava se deslocando para a proxima atividade quando teve que fazer uma conversão à esquerda na rua graciliano ramos vindo a tocar no para-choque trazeiro de outro veiculo que vinha sentido oposto, causando danos materiais somente no veiculo da equipe.</t>
  </si>
  <si>
    <t>não</t>
  </si>
  <si>
    <t>RENAN TEIXEIRA SILVA</t>
  </si>
  <si>
    <t>A equipe de LV estava desativando uma rede, quando uma fase rompeu em uma emenda de cabo dois vãos após o local do ponto onde a equipe trabalhava.. 
Após incidente, o encarregado comunicou ao COI e ao supervisor. Recebendo as devidas orientações de segurança.</t>
  </si>
  <si>
    <t>JORGE DA SILVA COSTA</t>
  </si>
  <si>
    <t>MA-GEB-E001M</t>
  </si>
  <si>
    <t>Equipe finalizou uma atividade, estava em deslocamento para o alojamento para o fim do turno, quando em um ponto da MA que liga Goncalves Dias a Governador Eugenio Barros, um veiculo que vinha na direção oposta estava com luz alta, o motorista(Jorge) ficou encadeado e não percebendo os cavalos atravessando a estrada mais a frente, o motorista (Jorge) tentou desviar, fazendo uma manobra mais não conseguiu desviar de todos, batendo em um deles na lateral do lado direito da viatura, e quebrando o farol, retrovisor e o para choque do lado direito, sem lesões nos eletricistas</t>
  </si>
  <si>
    <t>GUILHERME FONSECA</t>
  </si>
  <si>
    <t>GOV. EUGENIO BARROS</t>
  </si>
  <si>
    <t>LEONARDO FERREIRA DE OLIVEIRA FILHO</t>
  </si>
  <si>
    <t>MA-STI-E002M</t>
  </si>
  <si>
    <t>Equipe  MA-STI-E002M estava realizando uma Ligação Nova - Reativação, após a montagem do padrão do cliente a equipe posicionou a  escada no poste (de esforço 9/150) e após o teste visual, realizaram o teste de esforço para verificar a resistência da estrutura que não suportou e veio a tombar sobre a varanda de uma residência, causando apenas danos ao telhado.</t>
  </si>
  <si>
    <t>BREJO DAS FLORES</t>
  </si>
  <si>
    <t>FRANCISCO DE ASSIS GOMES FILHO</t>
  </si>
  <si>
    <t>Equipe STI-C002 estava em deslocamento para o intervalo, ao fazer uma conversão à esquerda veio um motociclista conduzindo uma moto de placa PTH-8091 atrás do veiculo da equipe com uma velociade considerável, não teve tempo de reação vindo a chocar-se lateralmente na viatura da equipe causando danos materiais.</t>
  </si>
  <si>
    <t>WAGNER DE OLIVEIRA MELO</t>
  </si>
  <si>
    <t>MA-PDT-F008M</t>
  </si>
  <si>
    <t>A equipe estava em deslocamento na viatura operacional de placa SNS7E49, modelo Strada, quando o veículo de terceiros  modelo Hilux, de placa OLH5I00, não respeitou a placa de sinalização invadiu a preferencial e veio a colidir na lateral direita da viatura da CGB, resultando apenas em danos materiais.</t>
  </si>
  <si>
    <t>LUIS FILIPE CANTANHEDE</t>
  </si>
  <si>
    <t>Após inspeção de campo, o veículo SMP0E61 deslocava-se para a base. Após sinalizar e iniciar a conversão onde logo em seguida atravessaria a BR-316, uma motociclista que transitava em velocidade inadequada  colidiu na lateral do veículo. O condutor terceiro não sofreu ferimentos; tratava-se de um jovem que não apresentou CNH. O responsável pelo motociclista assumirá os prejuízos decorrentes do ocorrido.</t>
  </si>
  <si>
    <t>JULIO CESAR</t>
  </si>
  <si>
    <t>Pendente do relatório assinado com evidencias do plano de ação</t>
  </si>
  <si>
    <t>DAWISON MONTEIRO SILVA</t>
  </si>
  <si>
    <t>A equipe, ao sair da base conduzindo a viatura operacional de placa SOY0B40, marca Fiat, modelo Strada, realizou uma parada no lado direito da via. Ao retomar o deslocamento e retornar para a pista, o veículo de terceiro, placa SLO2B13, marca Fiat, modelo Strada, colidiu na lateral esquerda da viatura operacional da equipe.</t>
  </si>
  <si>
    <t>MA-PDT-F005M</t>
  </si>
  <si>
    <t>THIAGO HENRIQUE CORDEIRO DE MELO</t>
  </si>
  <si>
    <t>AUXILIAR DE FROTA</t>
  </si>
  <si>
    <t>Por volta das 7h30, o colaborador Thiago Henrique Cordeiro de Mello, auxiliar de frota, ao sair da sala de materiais de uso do setor, local que possui piso elevado em relação ao nível do pátio e não dispõe de degraus de acesso, ao se deslocar para a área externa, acabou pisando em uma escada que se encontrava sobre o piso, vindo a sentir incômodo no tornozelo esquerdo.
O colaborador foi encaminhado para atendimento e avaliação médica, não sendo identificada qualquer fratura e/ou lesão. Após o atendimento, foi liberado para retornar normalmente às suas atividades.</t>
  </si>
  <si>
    <t>RUAN VALMIR</t>
  </si>
  <si>
    <t>EDGLEYSON MENEZES DE SOUSA</t>
  </si>
  <si>
    <t>IMPACTO/PRENSAMENTO POR OBJETO EM MOVIMENTO</t>
  </si>
  <si>
    <t>Por volta das 7h51, os colaboradores Edgleyson Menezes de Sousa e José Ribamar Magalhães realizavam o carregamento de seis cruzetas tipo “L”. Durante a atividade, o colaborador passou a cinta na carga e o operador realizou a elevação do material para a carroceria do caminhão.
Na sequência, o eletricista Edgleyson subiu na carroceria para retirar a cinta das cruzetas. Após a retirada, uma das cruzetas deslizou sobre o piso do caminhão, atingindo a perna direita do colaborador, que ficou prensada entre a cruzeta e o cavalete traseiro do veículo, ocasionando um corte na perna direita.Após o evento o colaborador foi direcionado ao hospital para fazer os primeiros socorros, após o atendimento o colaborador foi liberado sem a necessidade de afastamento.</t>
  </si>
  <si>
    <t>MA-BCB-CA01</t>
  </si>
  <si>
    <t>MA-ITM-CA01</t>
  </si>
  <si>
    <t>JOSÉ COSMO NOVAES DE SOUSA</t>
  </si>
  <si>
    <t xml:space="preserve">MA-PDS-P004M. </t>
  </si>
  <si>
    <t>A equipe MA-PDS-P004M estava realizando atividade de poda de árvore na obra MA-2602404FIM1.3.0062. Após o início da execução do serviço, os colaboradores foram surpreendidos por um enxame de marimbondos.
Durante a elaboração da APR (Análise Preliminar de Risco), não foi possível identificar a presença dos insetos, uma vez que eles estavam alojados no interior de um tronco de árvore localizado próximo ao ponto onde a poda estava sendo realizada.
O colaborador envolvido foi prontamente encaminhado para atendimento e avaliação médica em decorrência de picadas de marimbondo. Foi medicado com antialérgico e submetido à aplicação de compressas no local afetado. Após a avaliação o colaborador foi liberado para retornar normalmente às suas atividades.</t>
  </si>
  <si>
    <t>NARAJÁ DO SENA</t>
  </si>
  <si>
    <t>SINIS. TRÂNSITO</t>
  </si>
  <si>
    <t>PRI. SOCORROS</t>
  </si>
  <si>
    <t>THIAGO RODRIGUES REIS</t>
  </si>
  <si>
    <t>Durante o trajeto, o colaborador foi surpreendido por uma caminhonete (pick-up) que realizou uma ultrapassagem indevida, forçando-o a desviar para fora da pista a fim de evitar uma colisão. Em decorrência da manobra evasiva, o colaborador saiu da via, porém não sofreu lesões aparentes. Terceiro não parou para prestar socorro para o condutor da CGB.</t>
  </si>
  <si>
    <t>EDIVAN DE LIMA</t>
  </si>
  <si>
    <t>MA-DPO-M001M</t>
  </si>
  <si>
    <t>A equipe deslocou-se para atendimento da Ordem de Serviço nº 1113490632 (Suspensão de Fornecimento). Ao chegar ao local, o condutor da viatura Hilux, placa TEY6B11, estacionou o veículo e, ao abrir a porta do lado do motorista para desembarque, ocorreu a colisão de uma motocicleta Honda Pop, placa ODV-6965, contra a porta da viatura.
Em decorrência do impacto, o motociclista sofreu um corte da perna direita. A equipe prestou imediatamente os primeiros socorros à vítima até a chegada do atendimento adequado.
O motociclista transportava uma criança na parte dianteira da motocicleta, porém ela não sofreu lesões ou qualquer outro dano em decorrência do acidente. Não houve registro de sequelas para os envolvidos.</t>
  </si>
  <si>
    <t>EXODO NEDS SOUSA</t>
  </si>
  <si>
    <t xml:space="preserve">Equipe STL-E001M estava realizando uma manobra de abertura da chave faca quando ao abrir a ultima chave do circuito com o dispositivo DAC acabou tocando na estrutura ocasionando a abertura do arco eletrico </t>
  </si>
  <si>
    <t>KAUA SOUSA SILVA</t>
  </si>
  <si>
    <t>O colaborador retornava do seu horário de almoço pra a CGB em sua moto particular, quando chocou-se com um caminhão que estava fazendo uma conversão.</t>
  </si>
  <si>
    <t>CAMILA CORREA</t>
  </si>
  <si>
    <t>REINALDO SANTANA DE LIMA</t>
  </si>
  <si>
    <t xml:space="preserve">FISCAL </t>
  </si>
  <si>
    <t>O fiscal retornava para a base após realizar acompanhamentos de campo junto às equipes. Durante o trajeto, ao se aproximar de uma faixa de pedestres, observou um pedestre sinalizando a intenção de realizar a travessia. Em conformidade com a legislação de trânsito, o fiscal reduziu a velocidade e parou a viatura antes da faixa para permitir a passagem do pedestre.</t>
  </si>
  <si>
    <t>RAFAEL LIMA MOTA</t>
  </si>
  <si>
    <t>MA-PDT-O036M</t>
  </si>
  <si>
    <t xml:space="preserve"> A equipe estava retornando à base após a implantação de poste na localidade de Tuntum. Ao chegar à BR-226, em frente à rodoviária da cidade de Tuntum, a roda dianteira do lado do motorista se desprendeu do caminhão. A roda percorreu aproximadamente 50 metros após o desprendimento. Não houve pessoas envolvidas nem registro de lesões.</t>
  </si>
  <si>
    <t>RAFAELA MELO</t>
  </si>
  <si>
    <t>JOÃO ANTONIO DA SILVA</t>
  </si>
  <si>
    <t>Durante o deslocamento para Joselândia, no povoado Palma, o caminhão da CGB e uma caminhonete Chevrolet S10 (placa FUU5B54) realizaram uma ultrapassagem simultaneamente. Ao retornar para a faixa de rolamento, a caminhonete encostou no para-choque dianteiro do caminhão, e a escada transportada no veículo atingiu o retrovisor do caminhão, causando sua quebra. O acidente resultou apenas em danos materiais, sem vítimas ou registro de lesões.</t>
  </si>
  <si>
    <t>CLEDEILSON GOMES CAMPOS</t>
  </si>
  <si>
    <t>Durante o estacionamento na garagem por volta das 19:30, o motorista da equipe MA-BDC-O005 foi estacionar o caminhão e não observou o espaço vazio ao lado de outro caminhão. Durante a manobra de macha ré o outro caminhão que estava estacionado atrás ficou em seu ponto cego vindo a ser colidido, ocasionando a quebra do para- brisa e de duas escadas. Todos os danos foram apenas materiais.</t>
  </si>
  <si>
    <t>FILIPE GABRIEL SANTANA</t>
  </si>
  <si>
    <t>O colaborador, após realizar uma visita técnica à UC 36594918 para coleta da assinatura da cliente referente ao serviço de inspeção, deslocava-se do município de Paulo Ramos com destino à base de Bacabal. Durante otrajeto, em um trecho da via em aclive, um motociclista passou a trafegar na contramão de direção. Diante da situação, o colaborador realizou uma manobra para evitar a colisão, ocasião em que o veículo transpôs o acostamento da pista contrária e colidiu contra uma cerca localizada às margens da via.</t>
  </si>
  <si>
    <t>MARCELO SOARES SILVA</t>
  </si>
  <si>
    <t xml:space="preserve">O veículo BYD envolvido trategava regularmente pela via e atravessou o cruzamento com o semáforo indicando sinal verde a seu favor. Entretanto, um terceiro veículo modelo GWM Haval H9, cor branca, teria desrespeitado a șinalização semafórica, avançando o sinal vermelho da via transversal. Diante daiminência de uma colisão, o envolvido realizou uma frenagem brusca para evitar o impacto. Em razão da redução repentina da velocidade,O condutor do veículo CGB,que seguia logo atras do BYD, não conseguiu frear a tempo,vindo a colidir na traseira. </t>
  </si>
  <si>
    <t>LEANDRO ANDRADE</t>
  </si>
  <si>
    <t>O colaborador Leandro Andrade, conduzindo a sua motocicleta Honda Bros (placa NXK6732), sofreu uma colisão com um veículo Gol (placa NHD2509) enquanto retornava do intervalo de almoço. O acidente ocorreu nas proximidades da curva da Sucan, quando o condutor do Gol realizou um retorno em local proibido, atingindo a lateral da motocicleta. O colaborador foi socorrido pelo supervisor João Clímaco, encaminhado ao hospital, recebeu alta e, em seguida, foi conduzido à delegacia para registro do boletim de ocorrência</t>
  </si>
  <si>
    <t>FILIPE BARBOSA SOUZA</t>
  </si>
  <si>
    <t>A equipe V001M iniciou pela manhã a montagem do RP com poste N4 e cruzeta L, em conjunto com equipe de linha morta — atividade interrompida para almoço e retomada após 1h. Por volta das 16h, o encarregado de linha viva solicitou a retirada dos componentes da linha morta para energizar o equipamento; ao fazer a primeira conexão, notou que o conector estava folgado, mas apenas pediu um modelo adequado à liderança, sem desfazer a ligação. Mesmo com pendências, prosseguiu-se com a instalação: ao preparar a alimentação do TP com cabo de comprimento superior ao normal, o colaborador tocou acidentalmente com o cabo na chave já energizada pela fase C, sofrendo descarga elétrica. Ele usava apenas luvas de pano, não as luvas de borracha compatíveis com a classe de tensão.</t>
  </si>
  <si>
    <t>FATAL</t>
  </si>
  <si>
    <t>MA-ITM-V001M</t>
  </si>
  <si>
    <t>MA-BDC-O005M</t>
  </si>
  <si>
    <t>IVAGNO FRANÇA DE LIRA</t>
  </si>
  <si>
    <t>MA-PDS-E001M</t>
  </si>
  <si>
    <t>O Supervisor da GSTC da Base de Pedreiras, Hermesson Vieira, foi comunicado pelo colaborador da EQTL, Reinaldo Vieira, sobre uma ocorrência envolvendo uma rede de baixa tensão (BT) rompida por um caminhão, com cabos energizados ao solo, sendo necessária a mobilização imediata de uma equipe para atendimento da situação.Após receber a informação, o supervisor entrou em contato com a equipe PDS-E001M, composta pelos colaboradores Ivagno e Ricardo. Em seguida, foi realizada uma conferência telefônica entre a equipe, o COI e o colaborador da EQTL, Reinaldo Vieira, para alinhamento da ocorrência. Na sequência, foi aberto o INC 1481349589, autorizando o deslocamento da equipe até o local. No momento do acionamento, a equipe encontrava-se retornando de uma atividade na zona rural de Trizidela do Vale.Ao chegar ao local, a equipe recebeu orientação do líder da EQTL, Ronald, para realizar a abertura de um jump na rede de BT, com o objetivo de energizar parcialmente o circuito e restabelecer o fornecimento para parte dos clientes. A equipe informou que realizaria inicialmente o reconhecimento da área afetada, conforme previsto nos procedimentos operacionais. Entretanto, o líder da EQTL informou que o reconhecimento já havia sido realizado e orientou a equipe a prosseguir diretamente com a execução da atividade</t>
  </si>
  <si>
    <t>HERMESSON VIEIRA</t>
  </si>
  <si>
    <t>GERALDO MOREIRA RODRIGUES</t>
  </si>
  <si>
    <t>A atividade programada na SI 172818 (Trizidela do Vale, alimentador MA.PDS.01C2 - finalização de obra com conexões nos PGs 494732 e 494727) exigia, por segurança, o bloqueio prévio do religador automático do alimentador correspondente, evitando religamento automático em caso de saída do sistema durante a execução do serviço em linha viva.Por engano do encarregado responsável, Geraldo Moreira Rodrigues, o pedido de bloqueio foi solicitado utilizando a referência da SI 172809 (alimentador MA.PDS.01C5), que corresponde a outra atividade distinta (travessia de rede entre os PGs 470836/2022673 e 470673/470604). Dessa forma, o bloqueio foi efetivado no alimentador incorreto.Em seguida, a SI 172809 foi encerrada. Como solicitações de trabalho finalizadas não podem ser reabertas no sistema, não foi possível corrigir o pedido pelo canal normal.Diante disso, foi realizada uma reunião entre representantes da CGB, da Equatorial e da equipe do COI para alinhamento e revisão da solicitação.</t>
  </si>
  <si>
    <t>RAFAEL PEREIRA DA SILVA</t>
  </si>
  <si>
    <t>RAIMUNDO MORAIS ASSUNÇÃO</t>
  </si>
  <si>
    <t>O colaborador Raimundo Morais, conduzindo a sua viatura Hilux (placa NXK6732), sofreu uma colisão com um veículo corsa (HUP6022) enquanto deslocava para uma atividade no povoado calumbi, o acidente ocorreu na saida de PresidenteDutra,  sentido Dom pedro, quando o condutor do corsa realizou um retorno em local proibido, a viatura não estava em distância de seguimento, e veio a colidir na traseira do terceiro, a equipe informou de imediato a liderança, que informou ao setor de segurança e a frota, a guarda municipal foi acionada, para haver a apuração dos fatos, a equipe foi em encaminhada pra base, para colher os relatos, e registrar um B.O</t>
  </si>
  <si>
    <t>DALTON VINICIUS RIBERIRO</t>
  </si>
  <si>
    <t>O colaborador Dalton, estava conduzindo a motocicleta BROZ (placa UJO6G99), quando sofreu uma colisão com uma segunda motocicleta POP, enquanto fazia o retorno a base após realizar a atividade de tombamento de obra, o acidente ocorreu no centro de Miranda do Norte, quando o condutor da pop realizou uma travessia na BR sem respeitar o fluxo de veículos, o colaborador vinha com a velocidade permitida no trecho e chegou a bater na traseira da moto. O colaborador informou de imediato a liderança, que informou ao setor de segurança e a frota, o condutor foi encaminhado ao hospital de Miranda, após a liberação fez o retorno para base para colher os relatos.</t>
  </si>
  <si>
    <t>CHRISTOPHE DANIEL</t>
  </si>
  <si>
    <t>CLENILTON FERREIRA SAMPAIO</t>
  </si>
  <si>
    <t>MA-ITM-O001M</t>
  </si>
  <si>
    <t>Durante o deslocamento de retorno a base a equipe que vinha do povoado Tingidor, ao trafegar pela rua Padre Pocidonio Monteiro em ITAPECURU MIRIM, o malão lateral da carroceria do caminhão veio a abrir quando passava ao lado de um veículo TERA da placa – UKH2G05 que estava estacionado na lateral da via, quando o motorista o percebeu parou de imediato, e foram averiguar a situação e observaram que tinha danificado o paralama do veículo que estava estacionado, paralama traseiro . O encarregado informou de imediato a liderança, que informou ao setor de segurança,  a frota está tratando o veículo danificado.
Informo que só houve danos mateiras no veículo do terceiro.</t>
  </si>
  <si>
    <t>MA-PDT-V002M</t>
  </si>
  <si>
    <t xml:space="preserve">O colaborador Antonio Ronilson, ao operar o MUNCK do cavalo mecânico de placa SNM6D11, sofreu um pensamento no seu dedo indicador .O operador  retirava o braço hidráulico do munck da gaveta com uma das mãos na alavanca de comando e a outra próxima ao cilindro e ao  braço hidráulico. Ao movimentar o braço hidráulico com o objetivo de remover o gancho da trava, um dos dedos do colaborador sofreu prensamento entre o braço hidráulico e o cilindro do munck. O colaborador foi encaminhado ao hospital municipal de Pedreiras, onde  foi constatada a lesão em dois locais do seu dedo indicador da mão direita. </t>
  </si>
  <si>
    <t>FRANCISCO FLAVIO  REIS GOMES</t>
  </si>
  <si>
    <t>equipe cobriu as fases de um circuito Bifásico, cabo 4 sem alma de aço com 4 coberturas na "fase A" e duas na "fase B", o podador que estava em altura desceu para organizarem ferramentas e registrarem fotos, momento em que a vegetação tocou na "fase B" ocasionando o rompimento do cabo.Encarregado informou a supervisão e o COI no momento do evento, a equipe própria da Equatorial compareceu ao local para fazer a emenda do cabo.</t>
  </si>
  <si>
    <t>RONIELE LISBOA DE SOUSA</t>
  </si>
  <si>
    <t>MA-PDS-O004M</t>
  </si>
  <si>
    <t>ANTONIO CORTES SILVA</t>
  </si>
  <si>
    <t>MA-ITM-P002M</t>
  </si>
  <si>
    <t>O colaborador subiu ao cesto para executar poda e ao erguer a lança do sky do descanso do cesto a lança veio a se soltar da base da torre vindo a cair no chão. O encarregado comunicou imediatamente o supervisor que acionou no mesmo momento o coordenador operacional e o coordenador de frota. O colaborador que estava no cesto foi encaminhado ao hospital para os devidos atendimentos.</t>
  </si>
  <si>
    <t>O colaborador EXODO NEDS SOUSA SOUTA estava dirigindo o carro de placa UHY-9F28 na rua do alojamento, pois teria ido buscar mais material para continuar o atendimento dos serviços, ao chegar na rua a equipe se deslocou para a esquina fazer o contorno com mais segurança, mas antes de chegarem, um motorista com seu carro de placa NHT-5809  que estava estacionado em sua garagem, saiu sem ter a menor visão de quem vinha na rua em sentido contrário do lado do motorista, dificultando ainda mais sua visão, a garagem é de descida e possui vegetação.</t>
  </si>
  <si>
    <t>JORDEN CLEISON</t>
  </si>
  <si>
    <t>ANTONIO ELIELTON ANDRÉ PEREIRA</t>
  </si>
  <si>
    <t xml:space="preserve">O colaborador subiu na estrutura para instalação de um conector estribo na rede bt , com a ferramenta impact e primeiro prendeu o estribo com a mesma e foi instalar a bala no cartucho ao perceber que a mesma não tinha encaixado foi bater na lateral da mesma com um parafuso ao bater a mesma se deflagrou no cartucho e atingiu o dedo médio da mão esquerda. O mesmo estava de luva de película </t>
  </si>
  <si>
    <t>JOSIEL RODRIGUES LIMA</t>
  </si>
  <si>
    <t>MA-LDP-E001M</t>
  </si>
  <si>
    <t>A equipe LDP-E001M, durante deslocamento para atendimento do INC 1481653450, com destino ao PV Andrex, localizado no interior do município de Lago do Junco, trafegava pela Av. Antônio Bale, na saída da cidade de Lago da Pedra. Durante o trajeto, a equipe seguia atrás de um motociclista que realizou uma frenagem brusca e inesperada, ocasionando a necessidade de frenagem imediata da viatura para evitar uma colisão. No momento da frenagem da viatura, um segundo motociclista que trafegava logo atrás não conseguiu realizar a parada a tempo e colidiu com a parte traseira da viatura, ocasionando danos materiais, especificamente a quebra da lanterna traseira do lado direito. Após a colisão, foi realizada a verificação da situação, sendo constatado que o motociclista envolvido não sofreu lesões, havendo somente danos materiais.</t>
  </si>
  <si>
    <t>WASHINTON SOARES DE SOUZA</t>
  </si>
  <si>
    <t>Durante uma manobra de marcha à ré, o Fiscal Operacional não observou que havia um poste metálico acondicionado no porta-escada do seu veículo. O poste acabou tocando o para-brisa do caminhão ITM550, que estava estacionado no pátio da base, causando dano material. Após o ocorrido, foi realizada a verificação, sendo constatado que não houve lesões,somente danos materiais.</t>
  </si>
  <si>
    <t>PAULO ANDRÉ SANTOS DE SOUSA</t>
  </si>
  <si>
    <t>Equipe realizava atividade de TROCA DE PARA RAIOS E SUBSTITUIÇÃO DE CÉLULAS DE UM BRT (BANCO REGULADOR DE TENSÃO) 
 (O EQUIPAMENTO ESTAVA ZERADO E BYPASSADO, fora de operação) No momento que o colaborador ROBERT retirava as coberturas da rede, o BYPASS começou a faiscar, o mesmo conduziu o cesto para longe da rede, logo em seguida o bypass rompeu-se abrindo um arco elétrico! O encarregado ligou para o COI, em seguida para o supervisor da base; repassando todas as informações para o CENTRO DE OPERAÇÕES INTERNAS, a rede permaneceu desligada até a conclusão de fechamento de JUMPS.</t>
  </si>
  <si>
    <t xml:space="preserve">MATEUS ANTONIO VIEGAS </t>
  </si>
  <si>
    <t>SIT</t>
  </si>
  <si>
    <t>TURNO</t>
  </si>
  <si>
    <t>DIA</t>
  </si>
  <si>
    <t>ENVOLVIDOS</t>
  </si>
  <si>
    <t>PRÓPRIOS</t>
  </si>
  <si>
    <t>TERCEIROS</t>
  </si>
  <si>
    <t>MANHÃ</t>
  </si>
  <si>
    <t>TARDE</t>
  </si>
  <si>
    <t>NOITE</t>
  </si>
  <si>
    <t>HORA</t>
  </si>
  <si>
    <t>DEFINIÇÃO</t>
  </si>
  <si>
    <t>CURTO CIRCUITO COM BY-PASS</t>
  </si>
  <si>
    <t>MANOBRA DE MARCHA RÉ</t>
  </si>
  <si>
    <t>PRENSAMENTO DE DEDO</t>
  </si>
  <si>
    <t>COLISÃO FRONTAL</t>
  </si>
  <si>
    <t>TOMBAMENTO NA CESTA AÉREA</t>
  </si>
  <si>
    <t>A equipe MA-PDS-O004M realizava atividade emergencial, referente à ocorrência INC 1481594282. Após o início da execução do serviço, o colaborador identificou a presença de abelhas no interior do poste de fibra ao acessar a estrutura. Diante da situação, interrompeu a exTecução e utilizou a roupa de proteção para apicultura, conforme orientação e procedimento de segurança aplicável.</t>
  </si>
  <si>
    <t>ATAQUE DE ABELHAS</t>
  </si>
  <si>
    <t>TOQUE DA VEGETAÇÃO NA REDE</t>
  </si>
  <si>
    <t>TAMPA DO MALÃO ATINGIU TERCEIROS</t>
  </si>
  <si>
    <t>COLISÃO ENTRE DUAS MOTOCICLETAS</t>
  </si>
  <si>
    <t>COLISÃO NA TRASEIRA DE TERCEIROS</t>
  </si>
  <si>
    <t>FALHA NA COMUNICAÇÃO DO BLOQUEIO DO EQUIPAMENTO</t>
  </si>
  <si>
    <t>FALHA NA COMUNICAÇÃO AO ENERGIZAR O CIRCUITO</t>
  </si>
  <si>
    <t>NÃO UTILIZOU A LUVA CORRETA</t>
  </si>
  <si>
    <t>COLISÃO DE TERCEIROS</t>
  </si>
  <si>
    <t>PERCA DE CONTROLE DO VEÍCULO</t>
  </si>
  <si>
    <t>COLISÃO EM TERCEIROS</t>
  </si>
  <si>
    <t>COLISÃO NA LATERAL DE TERCEIROS</t>
  </si>
  <si>
    <t>RODA SACOU</t>
  </si>
  <si>
    <t>TERCEIROS COLIDIU NA TRASEIRA</t>
  </si>
  <si>
    <t>COLISÃO COM TERCEIROS</t>
  </si>
  <si>
    <t>USO INADEQUADO DO DAC</t>
  </si>
  <si>
    <t>RONALDO ALBUQUERQUE DA SILVA</t>
  </si>
  <si>
    <t>ATAQUE DE MARIMBONDO</t>
  </si>
  <si>
    <t>DESATENÇÃO UTILIZANDO CELULAR</t>
  </si>
  <si>
    <t>ESTRUTURA CAIU SOBRE RESIDÊNCIA</t>
  </si>
  <si>
    <t>COLISÃO EM ANIMAIS</t>
  </si>
  <si>
    <t>CABO PARTIDO</t>
  </si>
  <si>
    <t>MANOBRA INADEQUADA DE GUINDALTO</t>
  </si>
  <si>
    <t>CONTATO COM GALHOS DE ÁRVORE</t>
  </si>
  <si>
    <t>COLISÃO ENTRE EQUIPES</t>
  </si>
  <si>
    <t>FRANCISCO DE MORAIS SILVA</t>
  </si>
  <si>
    <t>MA-BDC-C001M</t>
  </si>
  <si>
    <t>O colaborador estava em deslocamento de Presidente Dutra para Barra do Corda, pela BR-226. Ao passar por um quebra-molas, nas proximidades do posto da PRF, perdeu o controle da motocicleta e colidiu na traseira de um veículo não identificado que seguia no mesmo sentido.</t>
  </si>
  <si>
    <t>O colaborador foi prontamente socorrido pela equipe da PRF e encaminhado à UPA de Barra do Corda, onde recebeu atendimento médico e, após avaliação, foi liberado. O acidente resultou apenas em escoriações leves e danos materiais.</t>
  </si>
  <si>
    <t>ATINGIDO POR FACÃO</t>
  </si>
  <si>
    <t>DESEMBARQUE</t>
  </si>
  <si>
    <t>RAIMUNDO NONATO DE SOUSA MATOS</t>
  </si>
  <si>
    <t>Durante deslocamento do Fiscal Operacional para a cidade de Arari, o veículo da empresa colidiu na traseira de um Toyota Yaris, placa PTQ4A20, que, com o impacto, colidiu em um Fiat Mobi, placa PTZ1E40. Segundo relato do condutor, um caminhão à frente realizou uma frenagem brusca. No momento da tentativa de frenagem, o veículo da empresa apresentou falha mecânica, desligando e ocasionando o endurecimento da direção e do sistema de freio, impossibilitando a frenagem e resultando na colisão.</t>
  </si>
  <si>
    <t>FERNANDO DORNELLES</t>
  </si>
  <si>
    <t>TOMBAMENTO DE POSTES DE CONCRETO DO CAMINHÃO</t>
  </si>
  <si>
    <t>A equipe deslocava-se para a obra MA-2601112UNR3.I.0122. Na saída da BR-226, ao acessar a estrada carroçal e realizar uma curva, houve o desprendimento da malhau do caminhão, ocasionando a queda dos postes que estavam sendo transportados e, consequentemente, danos aos materiais.</t>
  </si>
  <si>
    <t>GABRIEL DO CARMO</t>
  </si>
  <si>
    <t>JOÃO BATISTA MORAES CORREA</t>
  </si>
  <si>
    <t>MA-ITM-C002M</t>
  </si>
  <si>
    <t>CONTATO ENTRE MOTO DE TERCEIRO
 COM VEICULO CGB</t>
  </si>
  <si>
    <t>A equipe ITM-C002M, durante deslocamento para atendimento da ocorrência INC 1116901907, trafegava pela Travessa Professor João Rodrigues quando, ao chegar ao cruzamento com a Rua Projetada Três no bairro da torre, ocorreu uma colisão lateral envolvendo uma motocicleta Honda Pop 100, de cor vermelha, sem placa, conduzida por um motociclista que trafegava em alta velocidade e vestia camisa branca. Após a colisão, o motociclista evadiu-se do local.</t>
  </si>
  <si>
    <t>ANTONIO FERREIRA MENDES</t>
  </si>
  <si>
    <t>MA-VTO-E001M</t>
  </si>
  <si>
    <t>CONTATO DA VIATURA CGB 
COM ANIMAL NA ESTRADA</t>
  </si>
  <si>
    <t>Após o atendimento da ocorrência INC 1491177352, a equipe VTO-M001M iniciou o deslocamento de retorno à base de Arari, utilizando a viatura de placa SMM9F74. Durante o trajeto por uma estrada carroçal, localizada na zona rural, um cavalo, que teria sido espantado por um terceiro, correu na mesma direção em que a viatura trafegava e colidiu lateralmente com o veículo. Em decorrência do impacto, ocorreu a quebra do espelho retrovisor esquerdo da viatura, resultando em danos materiais.</t>
  </si>
  <si>
    <t>VITÓRIA DO MEARIM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</si>
</sst>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0.0"/>
    <numFmt numFmtId="165" formatCode="mmm"/>
  </numFmts>
  <fonts count="24" x14ac:knownFonts="1">
    <font>
      <sz val="11"/>
      <color theme="1"/>
      <name val="Calibri"/>
      <family val="2"/>
      <scheme val="minor"/>
    </font>
    <font>
      <sz val="10"/>
      <color theme="1"/>
      <name val="Bahnschrift"/>
      <family val="2"/>
    </font>
    <font>
      <b/>
      <sz val="10"/>
      <color theme="1"/>
      <name val="Bahnschrift"/>
      <family val="2"/>
    </font>
    <font>
      <b/>
      <sz val="10"/>
      <color theme="0"/>
      <name val="Bahnschrift"/>
      <family val="2"/>
    </font>
    <font>
      <b/>
      <sz val="20"/>
      <color rgb="FF7A3D00"/>
      <name val="Bahnschrift"/>
      <family val="2"/>
    </font>
    <font>
      <sz val="10"/>
      <color theme="1"/>
      <name val="Bahnschrift"/>
      <family val="2"/>
    </font>
    <font>
      <sz val="10"/>
      <color theme="1"/>
      <name val="Bahnschrift"/>
      <family val="2"/>
    </font>
    <font>
      <sz val="10"/>
      <color rgb="FF000000"/>
      <name val="Bahnschrift"/>
      <family val="2"/>
    </font>
    <font>
      <sz val="10"/>
      <color rgb="FF000000"/>
      <name val="Bahnschrift"/>
      <family val="2"/>
    </font>
    <font>
      <sz val="10"/>
      <color theme="1"/>
      <name val="Bahnschrift"/>
      <family val="2"/>
    </font>
    <font>
      <b/>
      <sz val="10"/>
      <color theme="0"/>
      <name val="Bahnschrift"/>
      <family val="2"/>
    </font>
    <font>
      <sz val="10"/>
      <color theme="1"/>
      <name val="Bahnschrift"/>
      <family val="2"/>
    </font>
    <font>
      <sz val="10"/>
      <color theme="1"/>
      <name val="Bahnschrift"/>
      <family val="2"/>
    </font>
    <font>
      <sz val="10"/>
      <color theme="1"/>
      <name val="Bahnschrift"/>
      <family val="2"/>
    </font>
    <font>
      <sz val="8"/>
      <name val="Calibri"/>
      <family val="2"/>
      <scheme val="minor"/>
    </font>
    <font>
      <sz val="10"/>
      <color theme="1"/>
      <name val="Bahnschrift"/>
      <family val="2"/>
    </font>
    <font>
      <sz val="10"/>
      <color theme="1"/>
      <name val="Bahnschrift"/>
      <family val="2"/>
    </font>
    <font>
      <sz val="10"/>
      <color theme="1"/>
      <name val="Bahnschrift"/>
      <family val="2"/>
    </font>
    <font>
      <sz val="11"/>
      <color theme="1"/>
      <name val="Calibri"/>
      <family val="2"/>
      <scheme val="minor"/>
    </font>
    <font>
      <b/>
      <sz val="12"/>
      <color theme="1"/>
      <name val="Calibri"/>
      <family val="2"/>
      <scheme val="minor"/>
    </font>
    <font>
      <sz val="12"/>
      <color theme="1"/>
      <name val="Calibri"/>
      <family val="2"/>
      <scheme val="minor"/>
    </font>
    <font>
      <sz val="10"/>
      <color theme="1"/>
      <name val="Bahnschrift"/>
      <family val="2"/>
    </font>
    <font>
      <sz val="10"/>
      <color theme="1"/>
      <name val="Bahnschrift"/>
      <family val="2"/>
    </font>
    <font>
      <sz val="10"/>
      <color theme="1"/>
      <name val="Bahnschrift"/>
    </font>
  </fonts>
  <fills count="7">
    <fill>
      <patternFill patternType="none"/>
    </fill>
    <fill>
      <patternFill patternType="gray125"/>
    </fill>
    <fill>
      <patternFill patternType="solid">
        <fgColor theme="0" tint="-0.14999847407452621"/>
        <bgColor indexed="64"/>
      </patternFill>
    </fill>
    <fill>
      <patternFill patternType="solid">
        <fgColor rgb="FF64042F"/>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0" tint="-0.249977111117893"/>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rgb="FF000000"/>
      </bottom>
      <diagonal/>
    </border>
    <border>
      <left/>
      <right/>
      <top/>
      <bottom style="thin">
        <color indexed="64"/>
      </bottom>
      <diagonal/>
    </border>
    <border>
      <left/>
      <right/>
      <top style="thin">
        <color indexed="64"/>
      </top>
      <bottom/>
      <diagonal/>
    </border>
    <border>
      <left style="thin">
        <color indexed="64"/>
      </left>
      <right style="thin">
        <color indexed="64"/>
      </right>
      <top style="thin">
        <color rgb="FFFDF0E7"/>
      </top>
      <bottom style="thin">
        <color indexed="64"/>
      </bottom>
      <diagonal/>
    </border>
    <border>
      <left style="thin">
        <color indexed="64"/>
      </left>
      <right style="thin">
        <color indexed="64"/>
      </right>
      <top style="thin">
        <color indexed="64"/>
      </top>
      <bottom style="thin">
        <color rgb="FFFDF0E7"/>
      </bottom>
      <diagonal/>
    </border>
    <border>
      <left style="thin">
        <color rgb="FFFDF0E7"/>
      </left>
      <right style="thin">
        <color indexed="64"/>
      </right>
      <top style="thin">
        <color rgb="FFFDF0E7"/>
      </top>
      <bottom style="thin">
        <color indexed="64"/>
      </bottom>
      <diagonal/>
    </border>
    <border>
      <left style="thin">
        <color rgb="FFFDF0E7"/>
      </left>
      <right style="thin">
        <color indexed="64"/>
      </right>
      <top style="thin">
        <color indexed="64"/>
      </top>
      <bottom style="thin">
        <color indexed="64"/>
      </bottom>
      <diagonal/>
    </border>
    <border>
      <left style="thin">
        <color rgb="FFFDF0E7"/>
      </left>
      <right style="thin">
        <color indexed="64"/>
      </right>
      <top style="thin">
        <color indexed="64"/>
      </top>
      <bottom style="thin">
        <color rgb="FFFDF0E7"/>
      </bottom>
      <diagonal/>
    </border>
    <border>
      <left style="thin">
        <color rgb="FFFDF0E7"/>
      </left>
      <right style="thin">
        <color rgb="FFFDF0E7"/>
      </right>
      <top style="thin">
        <color rgb="FFFDF0E7"/>
      </top>
      <bottom style="thin">
        <color rgb="FFFDF0E7"/>
      </bottom>
      <diagonal/>
    </border>
    <border>
      <left style="thin">
        <color indexed="64"/>
      </left>
      <right style="thin">
        <color rgb="FFFDF0E7"/>
      </right>
      <top style="thin">
        <color rgb="FFFDF0E7"/>
      </top>
      <bottom style="thin">
        <color indexed="64"/>
      </bottom>
      <diagonal/>
    </border>
    <border>
      <left style="thin">
        <color indexed="64"/>
      </left>
      <right style="thin">
        <color rgb="FFFDF0E7"/>
      </right>
      <top style="thin">
        <color indexed="64"/>
      </top>
      <bottom style="thin">
        <color indexed="64"/>
      </bottom>
      <diagonal/>
    </border>
    <border>
      <left style="thin">
        <color indexed="64"/>
      </left>
      <right style="thin">
        <color rgb="FFFDF0E7"/>
      </right>
      <top style="thin">
        <color indexed="64"/>
      </top>
      <bottom style="thin">
        <color rgb="FFFDF0E7"/>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218">
    <xf numFmtId="0" fontId="0"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cellStyleXfs>
  <cellXfs count="203">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3" fillId="3" borderId="7" xfId="0" applyFont="1" applyFill="1" applyBorder="1" applyAlignment="1">
      <alignment horizontal="center" vertical="center"/>
    </xf>
    <xf numFmtId="0" fontId="3" fillId="3" borderId="10" xfId="0" applyFont="1" applyFill="1" applyBorder="1" applyAlignment="1">
      <alignment horizontal="center" vertical="center"/>
    </xf>
    <xf numFmtId="17" fontId="1" fillId="4" borderId="11" xfId="0" applyNumberFormat="1" applyFont="1" applyFill="1" applyBorder="1" applyAlignment="1">
      <alignment horizontal="center" vertical="center"/>
    </xf>
    <xf numFmtId="14" fontId="1" fillId="4"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17" fontId="1" fillId="4" borderId="3" xfId="0" applyNumberFormat="1" applyFont="1" applyFill="1" applyBorder="1" applyAlignment="1">
      <alignment horizontal="center" vertical="center"/>
    </xf>
    <xf numFmtId="14" fontId="1" fillId="4" borderId="9" xfId="0" applyNumberFormat="1" applyFont="1" applyFill="1" applyBorder="1" applyAlignment="1">
      <alignment horizontal="center" vertical="center"/>
    </xf>
    <xf numFmtId="0" fontId="1" fillId="4" borderId="9" xfId="0" applyFont="1" applyFill="1" applyBorder="1" applyAlignment="1">
      <alignment horizontal="center"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1" fillId="4" borderId="10" xfId="0" applyFont="1" applyFill="1" applyBorder="1" applyAlignment="1">
      <alignment horizontal="center" vertical="center"/>
    </xf>
    <xf numFmtId="0" fontId="3" fillId="3" borderId="13"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0" xfId="0" applyFont="1" applyFill="1" applyAlignment="1">
      <alignment horizontal="center" vertical="center"/>
    </xf>
    <xf numFmtId="14" fontId="1" fillId="2" borderId="0" xfId="0" applyNumberFormat="1" applyFont="1" applyFill="1" applyAlignment="1">
      <alignment horizontal="center" vertical="center"/>
    </xf>
    <xf numFmtId="0" fontId="1" fillId="4" borderId="1" xfId="0" applyFont="1" applyFill="1" applyBorder="1" applyAlignment="1">
      <alignment horizontal="left" vertical="center"/>
    </xf>
    <xf numFmtId="0" fontId="0" fillId="0" borderId="0" xfId="0" quotePrefix="1" applyAlignment="1">
      <alignment horizontal="center" vertical="center"/>
    </xf>
    <xf numFmtId="0" fontId="3" fillId="3" borderId="6" xfId="0" applyFont="1" applyFill="1" applyBorder="1" applyAlignment="1">
      <alignment horizontal="center" vertical="center"/>
    </xf>
    <xf numFmtId="0" fontId="3" fillId="3" borderId="1" xfId="0" applyFont="1" applyFill="1" applyBorder="1" applyAlignment="1">
      <alignment horizontal="center" vertical="center"/>
    </xf>
    <xf numFmtId="0" fontId="2" fillId="2" borderId="11" xfId="0" applyFont="1" applyFill="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14"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17" fontId="5" fillId="4" borderId="3" xfId="0" applyNumberFormat="1" applyFont="1" applyFill="1" applyBorder="1" applyAlignment="1">
      <alignment horizontal="center" vertical="center"/>
    </xf>
    <xf numFmtId="14" fontId="5" fillId="4" borderId="9" xfId="0" applyNumberFormat="1" applyFont="1" applyFill="1" applyBorder="1" applyAlignment="1">
      <alignment horizontal="center" vertical="center"/>
    </xf>
    <xf numFmtId="0" fontId="5" fillId="4" borderId="9" xfId="0" applyFont="1" applyFill="1" applyBorder="1" applyAlignment="1">
      <alignment horizontal="center" vertical="center"/>
    </xf>
    <xf numFmtId="0" fontId="5" fillId="4" borderId="9" xfId="0" applyFont="1" applyFill="1" applyBorder="1" applyAlignment="1">
      <alignment horizontal="left" vertical="center"/>
    </xf>
    <xf numFmtId="0" fontId="5" fillId="0" borderId="9" xfId="0" applyFont="1" applyBorder="1" applyAlignment="1">
      <alignment horizontal="center" vertical="center"/>
    </xf>
    <xf numFmtId="0" fontId="3" fillId="3" borderId="10" xfId="0" applyFont="1" applyFill="1" applyBorder="1" applyAlignment="1">
      <alignment horizontal="center" vertical="center" wrapText="1"/>
    </xf>
    <xf numFmtId="0" fontId="1" fillId="4" borderId="9" xfId="0" applyFont="1" applyFill="1" applyBorder="1" applyAlignment="1">
      <alignment horizontal="left" vertical="center"/>
    </xf>
    <xf numFmtId="0" fontId="1" fillId="0" borderId="9" xfId="0" applyFont="1" applyBorder="1" applyAlignment="1">
      <alignment horizontal="center" vertical="center"/>
    </xf>
    <xf numFmtId="17" fontId="6" fillId="4" borderId="11" xfId="0" applyNumberFormat="1" applyFont="1" applyFill="1" applyBorder="1" applyAlignment="1">
      <alignment horizontal="center" vertical="center"/>
    </xf>
    <xf numFmtId="1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4" borderId="9" xfId="0" applyFont="1" applyFill="1" applyBorder="1" applyAlignment="1">
      <alignment horizontal="left" vertical="center"/>
    </xf>
    <xf numFmtId="0" fontId="6" fillId="4" borderId="9" xfId="0" applyFont="1" applyFill="1" applyBorder="1" applyAlignment="1">
      <alignment horizontal="center" vertical="center"/>
    </xf>
    <xf numFmtId="0" fontId="6" fillId="0" borderId="1" xfId="0" applyFont="1" applyBorder="1" applyAlignment="1">
      <alignment horizontal="center" vertical="center"/>
    </xf>
    <xf numFmtId="17" fontId="6" fillId="4" borderId="3" xfId="0" applyNumberFormat="1" applyFont="1" applyFill="1" applyBorder="1" applyAlignment="1">
      <alignment horizontal="center" vertical="center"/>
    </xf>
    <xf numFmtId="14" fontId="6" fillId="4" borderId="9" xfId="0" applyNumberFormat="1" applyFont="1" applyFill="1" applyBorder="1" applyAlignment="1">
      <alignment horizontal="center" vertical="center"/>
    </xf>
    <xf numFmtId="0" fontId="6" fillId="0" borderId="9" xfId="0" applyFont="1" applyBorder="1" applyAlignment="1">
      <alignment horizontal="center" vertical="center"/>
    </xf>
    <xf numFmtId="0" fontId="6" fillId="4" borderId="1" xfId="0" applyFont="1" applyFill="1" applyBorder="1" applyAlignment="1">
      <alignment horizontal="left" vertical="center"/>
    </xf>
    <xf numFmtId="0" fontId="0" fillId="0" borderId="9" xfId="0" applyBorder="1" applyAlignment="1">
      <alignment horizontal="center" vertical="center"/>
    </xf>
    <xf numFmtId="14" fontId="7" fillId="5" borderId="9" xfId="0" applyNumberFormat="1" applyFont="1" applyFill="1" applyBorder="1" applyAlignment="1">
      <alignment horizontal="center" vertical="center"/>
    </xf>
    <xf numFmtId="0" fontId="7" fillId="5" borderId="9" xfId="0" applyFont="1" applyFill="1" applyBorder="1" applyAlignment="1">
      <alignment horizontal="center" vertical="center"/>
    </xf>
    <xf numFmtId="0" fontId="7" fillId="5" borderId="9" xfId="0" applyFont="1" applyFill="1" applyBorder="1" applyAlignment="1">
      <alignment horizontal="left" vertical="center"/>
    </xf>
    <xf numFmtId="14" fontId="8" fillId="5"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0" fontId="8" fillId="5" borderId="1" xfId="0" applyFont="1" applyFill="1" applyBorder="1" applyAlignment="1">
      <alignment horizontal="left" vertical="center"/>
    </xf>
    <xf numFmtId="0" fontId="7" fillId="5" borderId="1" xfId="0" applyFont="1" applyFill="1" applyBorder="1" applyAlignment="1">
      <alignment horizontal="center" vertical="center"/>
    </xf>
    <xf numFmtId="0" fontId="0" fillId="0" borderId="1" xfId="0" applyBorder="1" applyAlignment="1">
      <alignment horizontal="center" vertical="center"/>
    </xf>
    <xf numFmtId="0" fontId="1" fillId="4" borderId="1" xfId="0" applyFont="1" applyFill="1" applyBorder="1" applyAlignment="1">
      <alignment horizontal="left" vertical="center" wrapText="1"/>
    </xf>
    <xf numFmtId="0" fontId="7" fillId="5" borderId="1" xfId="0" applyFont="1" applyFill="1" applyBorder="1" applyAlignment="1">
      <alignment horizontal="left" vertical="center"/>
    </xf>
    <xf numFmtId="0" fontId="10" fillId="3" borderId="10" xfId="0" applyFont="1" applyFill="1" applyBorder="1" applyAlignment="1">
      <alignment horizontal="center" vertical="center"/>
    </xf>
    <xf numFmtId="0" fontId="10" fillId="3" borderId="10" xfId="0" applyFont="1" applyFill="1" applyBorder="1" applyAlignment="1">
      <alignment horizontal="center" vertical="center" wrapText="1"/>
    </xf>
    <xf numFmtId="14" fontId="9" fillId="0" borderId="1" xfId="0" applyNumberFormat="1" applyFont="1" applyBorder="1" applyAlignment="1">
      <alignment horizontal="center" vertical="center"/>
    </xf>
    <xf numFmtId="0" fontId="9" fillId="0" borderId="1" xfId="0" applyFont="1" applyBorder="1" applyAlignment="1">
      <alignment horizontal="center" vertical="center"/>
    </xf>
    <xf numFmtId="14" fontId="1"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17" fontId="6" fillId="0" borderId="1" xfId="0" applyNumberFormat="1" applyFont="1" applyBorder="1" applyAlignment="1">
      <alignment horizontal="center" vertical="center"/>
    </xf>
    <xf numFmtId="3" fontId="1" fillId="0" borderId="1" xfId="0" applyNumberFormat="1" applyFont="1" applyBorder="1" applyAlignment="1">
      <alignment horizontal="center" vertical="center"/>
    </xf>
    <xf numFmtId="0" fontId="0" fillId="0" borderId="1" xfId="0" applyBorder="1"/>
    <xf numFmtId="0" fontId="0" fillId="0" borderId="1" xfId="0" applyBorder="1" applyAlignment="1">
      <alignment horizontal="left" vertical="center"/>
    </xf>
    <xf numFmtId="0" fontId="0" fillId="2" borderId="1" xfId="0" applyFill="1" applyBorder="1" applyAlignment="1">
      <alignment horizontal="center" vertical="center"/>
    </xf>
    <xf numFmtId="0" fontId="1" fillId="0" borderId="1" xfId="0" applyFont="1" applyBorder="1" applyAlignment="1">
      <alignment horizontal="left" vertical="center" wrapText="1"/>
    </xf>
    <xf numFmtId="14" fontId="11" fillId="0" borderId="9" xfId="0" applyNumberFormat="1" applyFont="1" applyBorder="1" applyAlignment="1">
      <alignment horizontal="center" vertical="center"/>
    </xf>
    <xf numFmtId="0" fontId="11" fillId="0" borderId="9" xfId="0" applyFont="1" applyBorder="1" applyAlignment="1">
      <alignment horizontal="center" vertical="center"/>
    </xf>
    <xf numFmtId="0" fontId="1" fillId="0" borderId="1" xfId="0" applyFont="1" applyBorder="1" applyAlignment="1">
      <alignment horizontal="left" vertical="top" wrapText="1"/>
    </xf>
    <xf numFmtId="14" fontId="12" fillId="0" borderId="9" xfId="0" applyNumberFormat="1" applyFont="1" applyBorder="1" applyAlignment="1">
      <alignment horizontal="center" vertical="center"/>
    </xf>
    <xf numFmtId="0" fontId="12" fillId="0" borderId="9" xfId="0" applyFont="1" applyBorder="1" applyAlignment="1">
      <alignment horizontal="center" vertical="center"/>
    </xf>
    <xf numFmtId="14" fontId="1" fillId="0" borderId="9" xfId="0" applyNumberFormat="1" applyFont="1" applyBorder="1" applyAlignment="1">
      <alignment horizontal="center" vertical="center"/>
    </xf>
    <xf numFmtId="14"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4" fontId="13" fillId="0" borderId="9" xfId="0" applyNumberFormat="1" applyFont="1" applyBorder="1" applyAlignment="1">
      <alignment horizontal="center" vertical="center"/>
    </xf>
    <xf numFmtId="0" fontId="13" fillId="0" borderId="9" xfId="0" applyFont="1" applyBorder="1" applyAlignment="1">
      <alignment horizontal="center" vertical="center"/>
    </xf>
    <xf numFmtId="0" fontId="0" fillId="0" borderId="9" xfId="0" applyBorder="1" applyAlignment="1">
      <alignment horizontal="left" vertical="center"/>
    </xf>
    <xf numFmtId="14" fontId="15" fillId="0" borderId="9" xfId="0" applyNumberFormat="1" applyFont="1" applyBorder="1" applyAlignment="1">
      <alignment horizontal="center" vertical="center"/>
    </xf>
    <xf numFmtId="0" fontId="15" fillId="0" borderId="9" xfId="0" applyFont="1" applyBorder="1" applyAlignment="1">
      <alignment horizontal="center" vertical="center"/>
    </xf>
    <xf numFmtId="14" fontId="16" fillId="0" borderId="9" xfId="0" applyNumberFormat="1" applyFont="1" applyBorder="1" applyAlignment="1">
      <alignment horizontal="center" vertical="center"/>
    </xf>
    <xf numFmtId="0" fontId="16" fillId="0" borderId="9" xfId="0" applyFont="1" applyBorder="1" applyAlignment="1">
      <alignment horizontal="center" vertical="center"/>
    </xf>
    <xf numFmtId="0" fontId="16" fillId="0" borderId="9" xfId="0" applyFont="1" applyBorder="1" applyAlignment="1">
      <alignment horizontal="left" vertical="center" wrapText="1"/>
    </xf>
    <xf numFmtId="0" fontId="0" fillId="0" borderId="9" xfId="0" applyBorder="1" applyAlignment="1">
      <alignment vertical="center"/>
    </xf>
    <xf numFmtId="0" fontId="1" fillId="0" borderId="9" xfId="0" applyFont="1" applyBorder="1" applyAlignment="1">
      <alignment horizontal="left" vertical="top" wrapText="1"/>
    </xf>
    <xf numFmtId="14" fontId="17" fillId="0" borderId="9" xfId="0" applyNumberFormat="1" applyFont="1" applyBorder="1" applyAlignment="1">
      <alignment horizontal="center" vertical="center"/>
    </xf>
    <xf numFmtId="0" fontId="17" fillId="0" borderId="9" xfId="0" applyFont="1" applyBorder="1" applyAlignment="1">
      <alignment horizontal="center" vertical="center"/>
    </xf>
    <xf numFmtId="0" fontId="17" fillId="0" borderId="9" xfId="0" applyFont="1" applyBorder="1" applyAlignment="1">
      <alignment horizontal="left" vertical="center" wrapText="1"/>
    </xf>
    <xf numFmtId="0" fontId="17" fillId="0" borderId="1" xfId="0" applyFont="1" applyBorder="1" applyAlignment="1">
      <alignment horizontal="center" vertical="center"/>
    </xf>
    <xf numFmtId="1" fontId="0" fillId="0" borderId="0" xfId="0" applyNumberFormat="1" applyAlignment="1">
      <alignment horizontal="center" vertical="center"/>
    </xf>
    <xf numFmtId="14" fontId="0" fillId="0" borderId="0" xfId="0" applyNumberFormat="1" applyAlignment="1">
      <alignment horizontal="center" vertical="center"/>
    </xf>
    <xf numFmtId="2" fontId="0" fillId="0" borderId="0" xfId="0" applyNumberFormat="1" applyAlignment="1">
      <alignment horizontal="center" vertical="center"/>
    </xf>
    <xf numFmtId="0" fontId="0" fillId="0" borderId="8" xfId="0" applyBorder="1" applyAlignment="1">
      <alignment horizontal="center" vertical="center"/>
    </xf>
    <xf numFmtId="14" fontId="0" fillId="0" borderId="25" xfId="0" applyNumberFormat="1" applyBorder="1" applyAlignment="1">
      <alignment horizontal="center" vertical="center"/>
    </xf>
    <xf numFmtId="0" fontId="0" fillId="0" borderId="26" xfId="0" applyBorder="1" applyAlignment="1">
      <alignment horizontal="center" vertical="center"/>
    </xf>
    <xf numFmtId="1" fontId="0" fillId="0" borderId="26" xfId="0" applyNumberFormat="1" applyBorder="1" applyAlignment="1">
      <alignment horizontal="center" vertical="center"/>
    </xf>
    <xf numFmtId="164" fontId="0" fillId="0" borderId="26" xfId="0" applyNumberFormat="1" applyBorder="1" applyAlignment="1">
      <alignment horizontal="center" vertical="center"/>
    </xf>
    <xf numFmtId="0" fontId="0" fillId="0" borderId="27" xfId="0" applyBorder="1" applyAlignment="1">
      <alignment horizontal="center" vertical="center"/>
    </xf>
    <xf numFmtId="14" fontId="0" fillId="0" borderId="29" xfId="0" applyNumberFormat="1" applyBorder="1" applyAlignment="1">
      <alignment horizontal="center" vertical="center"/>
    </xf>
    <xf numFmtId="0" fontId="0" fillId="0" borderId="28" xfId="0" applyBorder="1" applyAlignment="1">
      <alignment horizontal="center" vertical="center"/>
    </xf>
    <xf numFmtId="164" fontId="0" fillId="0" borderId="0" xfId="0" applyNumberFormat="1" applyAlignment="1">
      <alignment horizontal="center" vertical="center"/>
    </xf>
    <xf numFmtId="0" fontId="0" fillId="0" borderId="30" xfId="0" applyBorder="1" applyAlignment="1">
      <alignment horizontal="center" vertical="center"/>
    </xf>
    <xf numFmtId="0" fontId="20" fillId="0" borderId="1" xfId="5" applyNumberFormat="1" applyFont="1" applyBorder="1" applyAlignment="1">
      <alignment horizontal="center" vertical="center"/>
    </xf>
    <xf numFmtId="9" fontId="20" fillId="0" borderId="1" xfId="5" applyFont="1" applyBorder="1" applyAlignment="1">
      <alignment horizontal="center" vertical="center"/>
    </xf>
    <xf numFmtId="0" fontId="19" fillId="6" borderId="1" xfId="0" applyFont="1" applyFill="1" applyBorder="1" applyAlignment="1">
      <alignment horizontal="center" vertical="center"/>
    </xf>
    <xf numFmtId="165" fontId="19" fillId="6" borderId="1" xfId="0" applyNumberFormat="1" applyFont="1" applyFill="1" applyBorder="1" applyAlignment="1">
      <alignment horizontal="center" vertical="center"/>
    </xf>
    <xf numFmtId="165" fontId="20" fillId="0" borderId="1" xfId="0" applyNumberFormat="1" applyFont="1" applyBorder="1" applyAlignment="1">
      <alignment horizontal="center"/>
    </xf>
    <xf numFmtId="165" fontId="0" fillId="0" borderId="0" xfId="0" applyNumberFormat="1" applyAlignment="1">
      <alignment horizontal="center"/>
    </xf>
    <xf numFmtId="14" fontId="17" fillId="0" borderId="1" xfId="0" applyNumberFormat="1" applyFont="1" applyBorder="1" applyAlignment="1">
      <alignment horizontal="center" vertical="center"/>
    </xf>
    <xf numFmtId="0" fontId="17" fillId="0" borderId="1" xfId="0" applyFont="1" applyBorder="1" applyAlignment="1">
      <alignment horizontal="center" vertical="center" wrapText="1" shrinkToFit="1"/>
    </xf>
    <xf numFmtId="17" fontId="1" fillId="0" borderId="9" xfId="0" applyNumberFormat="1" applyFont="1" applyBorder="1" applyAlignment="1">
      <alignment horizontal="center" vertical="center"/>
    </xf>
    <xf numFmtId="17" fontId="21" fillId="0" borderId="9" xfId="0" applyNumberFormat="1" applyFont="1" applyBorder="1" applyAlignment="1">
      <alignment horizontal="center" vertical="center"/>
    </xf>
    <xf numFmtId="14" fontId="21" fillId="0" borderId="9" xfId="0" applyNumberFormat="1" applyFont="1" applyBorder="1" applyAlignment="1">
      <alignment horizontal="center" vertical="center"/>
    </xf>
    <xf numFmtId="0" fontId="21" fillId="0" borderId="9" xfId="0" applyFont="1" applyBorder="1" applyAlignment="1">
      <alignment horizontal="center" vertical="center"/>
    </xf>
    <xf numFmtId="0" fontId="0" fillId="0" borderId="9" xfId="0" applyBorder="1"/>
    <xf numFmtId="14" fontId="21" fillId="0" borderId="1" xfId="0" applyNumberFormat="1" applyFont="1" applyBorder="1" applyAlignment="1">
      <alignment horizontal="center" vertical="center"/>
    </xf>
    <xf numFmtId="0" fontId="21" fillId="0" borderId="1" xfId="0" applyFont="1" applyBorder="1" applyAlignment="1">
      <alignment horizontal="center" vertical="center"/>
    </xf>
    <xf numFmtId="17" fontId="21" fillId="0" borderId="1" xfId="0" applyNumberFormat="1" applyFont="1" applyBorder="1" applyAlignment="1">
      <alignment horizontal="center" vertical="center"/>
    </xf>
    <xf numFmtId="14" fontId="22" fillId="0" borderId="9" xfId="0" applyNumberFormat="1" applyFont="1" applyBorder="1" applyAlignment="1">
      <alignment horizontal="center" vertical="center"/>
    </xf>
    <xf numFmtId="0" fontId="22" fillId="0" borderId="9" xfId="0" applyFont="1" applyBorder="1" applyAlignment="1">
      <alignment horizontal="center" vertical="center"/>
    </xf>
    <xf numFmtId="14" fontId="22" fillId="0" borderId="1" xfId="0" applyNumberFormat="1" applyFont="1" applyBorder="1" applyAlignment="1">
      <alignment horizontal="center" vertical="center"/>
    </xf>
    <xf numFmtId="0" fontId="22" fillId="0" borderId="1" xfId="0" applyFont="1" applyBorder="1" applyAlignment="1">
      <alignment horizontal="center" vertical="center"/>
    </xf>
    <xf numFmtId="0" fontId="0" fillId="0" borderId="0" xfId="0" pivotButton="1" applyAlignment="1">
      <alignment horizontal="center" vertical="center"/>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left" vertical="center" wrapText="1"/>
    </xf>
    <xf numFmtId="0" fontId="11" fillId="0" borderId="9" xfId="0" applyFont="1" applyBorder="1" applyAlignment="1">
      <alignment horizontal="left" vertical="center" wrapText="1"/>
    </xf>
    <xf numFmtId="0" fontId="12" fillId="0" borderId="9" xfId="0" applyFont="1" applyBorder="1" applyAlignment="1">
      <alignment horizontal="left" vertical="center" wrapText="1"/>
    </xf>
    <xf numFmtId="0" fontId="1" fillId="0" borderId="9" xfId="0" applyFont="1" applyBorder="1" applyAlignment="1">
      <alignment horizontal="left" vertical="center" wrapText="1"/>
    </xf>
    <xf numFmtId="0" fontId="13" fillId="0" borderId="1" xfId="0" applyFont="1" applyBorder="1" applyAlignment="1">
      <alignment horizontal="left" vertical="center" wrapText="1"/>
    </xf>
    <xf numFmtId="0" fontId="13" fillId="0" borderId="9" xfId="0" applyFont="1" applyBorder="1" applyAlignment="1">
      <alignment horizontal="left" vertical="center" wrapText="1"/>
    </xf>
    <xf numFmtId="0" fontId="15" fillId="0" borderId="9" xfId="0" applyFont="1" applyBorder="1" applyAlignment="1">
      <alignment horizontal="left" vertical="center" wrapText="1"/>
    </xf>
    <xf numFmtId="0" fontId="17" fillId="0" borderId="1" xfId="0" applyFont="1" applyBorder="1" applyAlignment="1">
      <alignment horizontal="left" vertical="center" wrapText="1"/>
    </xf>
    <xf numFmtId="0" fontId="21" fillId="0" borderId="9" xfId="0" applyFont="1" applyBorder="1" applyAlignment="1">
      <alignment horizontal="left" vertical="center" wrapText="1"/>
    </xf>
    <xf numFmtId="0" fontId="21" fillId="0" borderId="1" xfId="0" applyFont="1" applyBorder="1" applyAlignment="1">
      <alignment horizontal="left" vertical="center" wrapText="1"/>
    </xf>
    <xf numFmtId="0" fontId="22" fillId="0" borderId="9" xfId="0" applyFont="1" applyBorder="1" applyAlignment="1">
      <alignment horizontal="left" vertical="center" wrapText="1"/>
    </xf>
    <xf numFmtId="0" fontId="22" fillId="0" borderId="1" xfId="0" applyFont="1" applyBorder="1" applyAlignment="1">
      <alignment horizontal="left" vertical="center" wrapText="1"/>
    </xf>
    <xf numFmtId="0" fontId="0" fillId="0" borderId="0" xfId="0" applyAlignment="1">
      <alignment horizontal="center" vertical="center" wrapText="1"/>
    </xf>
    <xf numFmtId="0" fontId="0" fillId="0" borderId="1" xfId="0" applyBorder="1" applyAlignment="1">
      <alignment horizontal="center"/>
    </xf>
    <xf numFmtId="20" fontId="1" fillId="0" borderId="1" xfId="0" applyNumberFormat="1" applyFont="1" applyBorder="1" applyAlignment="1">
      <alignment horizontal="center" vertical="center"/>
    </xf>
    <xf numFmtId="20" fontId="1" fillId="0" borderId="9" xfId="0" applyNumberFormat="1" applyFont="1" applyBorder="1" applyAlignment="1">
      <alignment horizontal="center" vertical="center"/>
    </xf>
    <xf numFmtId="0" fontId="0" fillId="0" borderId="9" xfId="0" applyBorder="1" applyAlignment="1">
      <alignment horizontal="center"/>
    </xf>
    <xf numFmtId="20" fontId="22" fillId="0" borderId="9" xfId="0" applyNumberFormat="1" applyFont="1" applyBorder="1" applyAlignment="1">
      <alignment horizontal="center" vertical="center"/>
    </xf>
    <xf numFmtId="20" fontId="22" fillId="0" borderId="1" xfId="0" applyNumberFormat="1" applyFont="1" applyBorder="1" applyAlignment="1">
      <alignment horizontal="center" vertical="center"/>
    </xf>
    <xf numFmtId="20" fontId="21" fillId="0" borderId="9" xfId="0" applyNumberFormat="1" applyFont="1" applyBorder="1" applyAlignment="1">
      <alignment horizontal="center" vertical="center"/>
    </xf>
    <xf numFmtId="20" fontId="21" fillId="0" borderId="1" xfId="0" applyNumberFormat="1" applyFont="1" applyBorder="1" applyAlignment="1">
      <alignment horizontal="center" vertical="center"/>
    </xf>
    <xf numFmtId="20" fontId="17" fillId="0" borderId="9" xfId="0" applyNumberFormat="1" applyFont="1" applyBorder="1" applyAlignment="1">
      <alignment horizontal="center" vertical="center"/>
    </xf>
    <xf numFmtId="20" fontId="17" fillId="0" borderId="1" xfId="0" applyNumberFormat="1" applyFont="1" applyBorder="1" applyAlignment="1">
      <alignment horizontal="center" vertical="center"/>
    </xf>
    <xf numFmtId="14" fontId="23" fillId="0" borderId="1" xfId="0" applyNumberFormat="1" applyFont="1" applyBorder="1" applyAlignment="1">
      <alignment horizontal="center" vertical="center"/>
    </xf>
    <xf numFmtId="0" fontId="23" fillId="0" borderId="1" xfId="0" applyFont="1" applyBorder="1" applyAlignment="1">
      <alignment horizontal="center" vertical="center"/>
    </xf>
    <xf numFmtId="0" fontId="23" fillId="0" borderId="1" xfId="0" applyFont="1" applyBorder="1" applyAlignment="1">
      <alignment horizontal="left" vertical="center" wrapText="1"/>
    </xf>
    <xf numFmtId="14" fontId="23" fillId="0" borderId="9" xfId="0" applyNumberFormat="1" applyFont="1" applyBorder="1" applyAlignment="1">
      <alignment horizontal="center" vertical="center"/>
    </xf>
    <xf numFmtId="0" fontId="23" fillId="0" borderId="9" xfId="0" applyFont="1" applyBorder="1" applyAlignment="1">
      <alignment horizontal="center" vertical="center"/>
    </xf>
    <xf numFmtId="0" fontId="23" fillId="0" borderId="9" xfId="0" applyFont="1" applyBorder="1" applyAlignment="1">
      <alignment horizontal="left"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4" xfId="0" applyFont="1" applyBorder="1" applyAlignment="1">
      <alignment horizontal="center" vertical="center"/>
    </xf>
    <xf numFmtId="0" fontId="1" fillId="0" borderId="7" xfId="0" applyFont="1" applyBorder="1" applyAlignment="1">
      <alignment horizontal="center" vertical="center"/>
    </xf>
    <xf numFmtId="0" fontId="2" fillId="2" borderId="8"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1" xfId="0" applyFont="1" applyFill="1" applyBorder="1" applyAlignment="1">
      <alignment horizontal="center" vertical="center"/>
    </xf>
    <xf numFmtId="0" fontId="1" fillId="0" borderId="8"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14" fontId="1" fillId="0" borderId="8" xfId="0" applyNumberFormat="1" applyFont="1" applyBorder="1" applyAlignment="1">
      <alignment horizontal="center" vertical="center"/>
    </xf>
    <xf numFmtId="14" fontId="1" fillId="0" borderId="12" xfId="0" applyNumberFormat="1" applyFont="1" applyBorder="1" applyAlignment="1">
      <alignment horizontal="center" vertical="center"/>
    </xf>
    <xf numFmtId="14" fontId="1" fillId="0" borderId="11" xfId="0" applyNumberFormat="1" applyFont="1" applyBorder="1" applyAlignment="1">
      <alignment horizontal="center" vertical="center"/>
    </xf>
    <xf numFmtId="0" fontId="4" fillId="0" borderId="21" xfId="0" applyFont="1" applyBorder="1" applyAlignment="1">
      <alignment horizontal="center" vertical="center"/>
    </xf>
    <xf numFmtId="0" fontId="4" fillId="0" borderId="18" xfId="0" applyFont="1" applyBorder="1" applyAlignment="1">
      <alignment horizontal="center" vertical="center"/>
    </xf>
    <xf numFmtId="0" fontId="4" fillId="0" borderId="16" xfId="0" applyFont="1" applyBorder="1" applyAlignment="1">
      <alignment horizontal="center" vertical="center"/>
    </xf>
    <xf numFmtId="0" fontId="4" fillId="0" borderId="22" xfId="0" applyFont="1" applyBorder="1" applyAlignment="1">
      <alignment horizontal="center" vertical="center"/>
    </xf>
    <xf numFmtId="0" fontId="4" fillId="0" borderId="19" xfId="0" applyFont="1" applyBorder="1" applyAlignment="1">
      <alignment horizontal="center" vertical="center"/>
    </xf>
    <xf numFmtId="0" fontId="4" fillId="0" borderId="1" xfId="0" applyFont="1" applyBorder="1" applyAlignment="1">
      <alignment horizontal="center" vertical="center"/>
    </xf>
    <xf numFmtId="0" fontId="4" fillId="0" borderId="23" xfId="0" applyFont="1" applyBorder="1" applyAlignment="1">
      <alignment horizontal="center" vertical="center"/>
    </xf>
    <xf numFmtId="0" fontId="4" fillId="0" borderId="20" xfId="0" applyFont="1" applyBorder="1" applyAlignment="1">
      <alignment horizontal="center" vertical="center"/>
    </xf>
    <xf numFmtId="0" fontId="4" fillId="0" borderId="17" xfId="0" applyFont="1" applyBorder="1" applyAlignment="1">
      <alignment horizontal="center" vertical="center"/>
    </xf>
    <xf numFmtId="0" fontId="4" fillId="0" borderId="24" xfId="0" applyFont="1" applyBorder="1" applyAlignment="1">
      <alignment horizontal="center" vertical="center"/>
    </xf>
    <xf numFmtId="0" fontId="1" fillId="2" borderId="1" xfId="0" applyFont="1" applyFill="1" applyBorder="1" applyAlignment="1">
      <alignment horizontal="center" vertical="center"/>
    </xf>
    <xf numFmtId="0" fontId="1" fillId="2" borderId="9" xfId="0" applyFont="1" applyFill="1" applyBorder="1" applyAlignment="1">
      <alignment horizontal="center" vertical="center"/>
    </xf>
    <xf numFmtId="17" fontId="23" fillId="0" borderId="1" xfId="0" applyNumberFormat="1" applyFont="1" applyFill="1" applyBorder="1" applyAlignment="1">
      <alignment horizontal="center" vertical="center"/>
    </xf>
    <xf numFmtId="14" fontId="23" fillId="0" borderId="1" xfId="0" applyNumberFormat="1" applyFont="1" applyFill="1" applyBorder="1" applyAlignment="1">
      <alignment horizontal="center" vertical="center"/>
    </xf>
    <xf numFmtId="0" fontId="23" fillId="0" borderId="1" xfId="0" applyFont="1" applyFill="1" applyBorder="1" applyAlignment="1">
      <alignment horizontal="center" vertical="center"/>
    </xf>
    <xf numFmtId="0" fontId="23" fillId="0" borderId="1" xfId="0" applyFont="1" applyFill="1" applyBorder="1" applyAlignment="1">
      <alignment horizontal="left" vertical="center" wrapText="1"/>
    </xf>
    <xf numFmtId="17" fontId="23" fillId="0" borderId="9" xfId="0" applyNumberFormat="1" applyFont="1" applyFill="1" applyBorder="1" applyAlignment="1">
      <alignment horizontal="center" vertical="center"/>
    </xf>
    <xf numFmtId="14" fontId="23" fillId="0" borderId="9" xfId="0" applyNumberFormat="1"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0" applyFont="1" applyFill="1" applyBorder="1" applyAlignment="1">
      <alignment horizontal="left" vertical="center" wrapText="1"/>
    </xf>
  </cellXfs>
  <cellStyles count="218">
    <cellStyle name="Normal" xfId="0" builtinId="0"/>
    <cellStyle name="Porcentagem" xfId="5" builtinId="5"/>
    <cellStyle name="Vírgula 2" xfId="2" xr:uid="{E79A0F4B-0A3F-40EA-A99D-5E7DE58ECA5D}"/>
    <cellStyle name="Vírgula 2 10" xfId="51" xr:uid="{353BAD87-3BC9-4793-BF92-24A64B7D93D3}"/>
    <cellStyle name="Vírgula 2 10 2" xfId="159" xr:uid="{BC1A8C6E-CFFA-422B-AB80-1361D622E8AF}"/>
    <cellStyle name="Vírgula 2 11" xfId="63" xr:uid="{DB5D7D5D-98BD-44DE-AAE4-D92F143B4DAF}"/>
    <cellStyle name="Vírgula 2 11 2" xfId="171" xr:uid="{B7824221-FA96-4E05-9FB6-54E31AB174AB}"/>
    <cellStyle name="Vírgula 2 12" xfId="75" xr:uid="{5508ABF1-D735-46F3-A87F-DE0FFD09AE47}"/>
    <cellStyle name="Vírgula 2 12 2" xfId="183" xr:uid="{CA2AA56A-9FB4-4C2B-8840-AD7BFD202C43}"/>
    <cellStyle name="Vírgula 2 13" xfId="87" xr:uid="{6690F695-06A7-470D-BF20-CF77D7F07341}"/>
    <cellStyle name="Vírgula 2 13 2" xfId="195" xr:uid="{01F0DC18-B7E2-4AB5-A397-445FE62682B5}"/>
    <cellStyle name="Vírgula 2 14" xfId="99" xr:uid="{06E72861-A817-4ADA-BEE5-60A0D9A0F635}"/>
    <cellStyle name="Vírgula 2 14 2" xfId="207" xr:uid="{8FF0292A-0444-40FD-B5D0-3DCB55A2E62C}"/>
    <cellStyle name="Vírgula 2 15" xfId="111" xr:uid="{226C1D1A-F0F8-4A3A-BC8F-8894471FD6BE}"/>
    <cellStyle name="Vírgula 2 2" xfId="4" xr:uid="{9B40896A-D6AF-459C-85DF-CFFEF152240F}"/>
    <cellStyle name="Vírgula 2 2 10" xfId="113" xr:uid="{10B91878-ED7B-4198-969F-2C431BAB6FBF}"/>
    <cellStyle name="Vírgula 2 2 2" xfId="17" xr:uid="{1A8FE0C8-544D-41FD-8791-77BCD1AB688D}"/>
    <cellStyle name="Vírgula 2 2 2 2" xfId="125" xr:uid="{BAB30163-11BB-49AB-AA43-C21E89FF06AE}"/>
    <cellStyle name="Vírgula 2 2 3" xfId="29" xr:uid="{06762AC8-3A99-455D-BD03-A6708AAC88B4}"/>
    <cellStyle name="Vírgula 2 2 3 2" xfId="137" xr:uid="{9DCBB226-3041-4B35-AEAB-AC97F24CC526}"/>
    <cellStyle name="Vírgula 2 2 4" xfId="41" xr:uid="{E6B39AC9-048F-48C6-AECF-8E0ADEEDA25B}"/>
    <cellStyle name="Vírgula 2 2 4 2" xfId="149" xr:uid="{2BAC9E18-B1C6-460E-A7D4-43BB5396C727}"/>
    <cellStyle name="Vírgula 2 2 5" xfId="53" xr:uid="{FCCB31BC-79BD-4FB8-A298-20862EBFA4EB}"/>
    <cellStyle name="Vírgula 2 2 5 2" xfId="161" xr:uid="{B8F8749F-40B4-41D3-9FA1-720969D439FC}"/>
    <cellStyle name="Vírgula 2 2 6" xfId="65" xr:uid="{205A6A2A-BC32-4B7E-A868-706890220725}"/>
    <cellStyle name="Vírgula 2 2 6 2" xfId="173" xr:uid="{0EC0F8DD-A7EB-4B8F-B866-4B4E60FB1FE9}"/>
    <cellStyle name="Vírgula 2 2 7" xfId="77" xr:uid="{8BD64646-25D6-4CFB-BC8D-8FE9DBAACA2F}"/>
    <cellStyle name="Vírgula 2 2 7 2" xfId="185" xr:uid="{60D4E839-534D-4DD4-AB07-6332A392F9F8}"/>
    <cellStyle name="Vírgula 2 2 8" xfId="89" xr:uid="{E6D6871A-7088-4E56-B85B-2ADEA3F4053B}"/>
    <cellStyle name="Vírgula 2 2 8 2" xfId="197" xr:uid="{6047EDA6-6775-444E-9240-695B8B8557B1}"/>
    <cellStyle name="Vírgula 2 2 9" xfId="101" xr:uid="{A6091792-CC25-4DC2-AD85-A3087B9C7CB5}"/>
    <cellStyle name="Vírgula 2 2 9 2" xfId="209" xr:uid="{C1904D50-D1A6-464F-B998-EB49D8AF7032}"/>
    <cellStyle name="Vírgula 2 3" xfId="7" xr:uid="{18CFE429-9E9C-47C5-B523-F8F2D66B1056}"/>
    <cellStyle name="Vírgula 2 3 10" xfId="115" xr:uid="{14D22B92-4342-42E2-9D2B-F33F76CB2756}"/>
    <cellStyle name="Vírgula 2 3 2" xfId="19" xr:uid="{AC27A06A-1C28-42DD-B877-FBFAD1C9A8A1}"/>
    <cellStyle name="Vírgula 2 3 2 2" xfId="127" xr:uid="{15664C10-9265-4147-B36D-DB91F78F7FFA}"/>
    <cellStyle name="Vírgula 2 3 3" xfId="31" xr:uid="{ACE9CD7C-818C-48B2-8176-C06B6BB081DF}"/>
    <cellStyle name="Vírgula 2 3 3 2" xfId="139" xr:uid="{7F606D0D-C995-413B-8384-3ABA878CC6E9}"/>
    <cellStyle name="Vírgula 2 3 4" xfId="43" xr:uid="{DA988219-5BFB-4CC6-9FA5-507F73F4FDE8}"/>
    <cellStyle name="Vírgula 2 3 4 2" xfId="151" xr:uid="{1875B9FC-6D7B-4AC4-AE54-C4F21C905F54}"/>
    <cellStyle name="Vírgula 2 3 5" xfId="55" xr:uid="{92E7E983-578D-41CA-A4F7-7E3C78B43DB3}"/>
    <cellStyle name="Vírgula 2 3 5 2" xfId="163" xr:uid="{88F35F40-8BD9-4D7E-99B5-16F0484C8073}"/>
    <cellStyle name="Vírgula 2 3 6" xfId="67" xr:uid="{41B0F93E-4AA0-4EE3-9AE5-1B8C7F1494D7}"/>
    <cellStyle name="Vírgula 2 3 6 2" xfId="175" xr:uid="{E068CF51-4ABA-49B8-B336-1FE9EE0F0705}"/>
    <cellStyle name="Vírgula 2 3 7" xfId="79" xr:uid="{AFCBB228-13FF-4C27-86FB-4B48050812E6}"/>
    <cellStyle name="Vírgula 2 3 7 2" xfId="187" xr:uid="{83B2D310-FB93-450C-B9C2-D579A640DDAB}"/>
    <cellStyle name="Vírgula 2 3 8" xfId="91" xr:uid="{5575C84A-F5DA-4008-A8EE-AA5BA5E76EC2}"/>
    <cellStyle name="Vírgula 2 3 8 2" xfId="199" xr:uid="{88446ECD-0258-4479-A653-929BE5465F33}"/>
    <cellStyle name="Vírgula 2 3 9" xfId="103" xr:uid="{9C21EF42-CAE3-4958-B5C0-F5AF45F8FD0F}"/>
    <cellStyle name="Vírgula 2 3 9 2" xfId="211" xr:uid="{4F232151-0ACF-4CE6-A0FF-8212B4A85622}"/>
    <cellStyle name="Vírgula 2 4" xfId="9" xr:uid="{E775665D-82D1-44E4-84D0-E0D1997800F8}"/>
    <cellStyle name="Vírgula 2 4 10" xfId="117" xr:uid="{3B46C611-81B8-4B7B-91C5-ABFB4EEE5C53}"/>
    <cellStyle name="Vírgula 2 4 2" xfId="21" xr:uid="{2BCF4E59-4B7D-4686-A985-EC4D8B82B3E4}"/>
    <cellStyle name="Vírgula 2 4 2 2" xfId="129" xr:uid="{DCACB00D-127E-437C-B3DD-6E23BE80E8ED}"/>
    <cellStyle name="Vírgula 2 4 3" xfId="33" xr:uid="{CE5E01AC-3BAC-40E8-ABD3-303047DFE3FC}"/>
    <cellStyle name="Vírgula 2 4 3 2" xfId="141" xr:uid="{7F2B19B6-77F0-428D-A17B-7DF9C371483B}"/>
    <cellStyle name="Vírgula 2 4 4" xfId="45" xr:uid="{42AD7251-3D1B-483E-972D-78DD283BB2B0}"/>
    <cellStyle name="Vírgula 2 4 4 2" xfId="153" xr:uid="{2FBCE67D-5A6A-40D9-B040-28AEE8DF8467}"/>
    <cellStyle name="Vírgula 2 4 5" xfId="57" xr:uid="{D1C2AE99-113F-430C-AE37-4609D3032992}"/>
    <cellStyle name="Vírgula 2 4 5 2" xfId="165" xr:uid="{536DC5FB-70D9-4402-837F-54417867A786}"/>
    <cellStyle name="Vírgula 2 4 6" xfId="69" xr:uid="{F801DFEA-676C-42BD-9C7D-6E7F17D17BC4}"/>
    <cellStyle name="Vírgula 2 4 6 2" xfId="177" xr:uid="{08D5BF2E-970B-4C59-9BE6-222B712151D4}"/>
    <cellStyle name="Vírgula 2 4 7" xfId="81" xr:uid="{927A2CE8-5FE1-447A-9141-4B74337CB2C2}"/>
    <cellStyle name="Vírgula 2 4 7 2" xfId="189" xr:uid="{C23879F7-2468-40AC-9DCD-967F687CAB02}"/>
    <cellStyle name="Vírgula 2 4 8" xfId="93" xr:uid="{FD86E94C-EC09-45E4-B773-7715796A3C72}"/>
    <cellStyle name="Vírgula 2 4 8 2" xfId="201" xr:uid="{61BF768D-9631-43F4-A889-21D63F47211F}"/>
    <cellStyle name="Vírgula 2 4 9" xfId="105" xr:uid="{40E17669-FF50-414F-A272-92A4B0240C59}"/>
    <cellStyle name="Vírgula 2 4 9 2" xfId="213" xr:uid="{1D031656-7E9E-4007-A6A9-123629B7361A}"/>
    <cellStyle name="Vírgula 2 5" xfId="11" xr:uid="{F7550528-00D9-4C68-AF39-4D295787A8FE}"/>
    <cellStyle name="Vírgula 2 5 10" xfId="119" xr:uid="{FBF5E41E-CACE-4799-B4BC-450F4E789E94}"/>
    <cellStyle name="Vírgula 2 5 2" xfId="23" xr:uid="{C108E90F-AF72-458B-BCCA-77D52A808200}"/>
    <cellStyle name="Vírgula 2 5 2 2" xfId="131" xr:uid="{914FA140-DB52-4DFB-93F3-C3AAC4AB8982}"/>
    <cellStyle name="Vírgula 2 5 3" xfId="35" xr:uid="{1B9C8B49-A348-4805-B92A-66437E2BDEAA}"/>
    <cellStyle name="Vírgula 2 5 3 2" xfId="143" xr:uid="{BC571F0A-F506-4701-BF3E-729E2DB8BD80}"/>
    <cellStyle name="Vírgula 2 5 4" xfId="47" xr:uid="{8C1328AC-A7C3-40A8-8EB3-F2FC563C9D1F}"/>
    <cellStyle name="Vírgula 2 5 4 2" xfId="155" xr:uid="{15DE21BA-C0F0-4623-9616-2F512F5E4E6D}"/>
    <cellStyle name="Vírgula 2 5 5" xfId="59" xr:uid="{D27D0C80-3676-431B-A39E-BE5E7A596AAA}"/>
    <cellStyle name="Vírgula 2 5 5 2" xfId="167" xr:uid="{3A4BFB40-391D-4E36-B84F-CC181F94E60C}"/>
    <cellStyle name="Vírgula 2 5 6" xfId="71" xr:uid="{F30C3EA3-9222-4207-9F04-F53B1C585092}"/>
    <cellStyle name="Vírgula 2 5 6 2" xfId="179" xr:uid="{476ACA2E-417D-4804-9B21-13210880C38A}"/>
    <cellStyle name="Vírgula 2 5 7" xfId="83" xr:uid="{E36DA605-71F7-424F-A43D-8AD873FF0E36}"/>
    <cellStyle name="Vírgula 2 5 7 2" xfId="191" xr:uid="{F0BDF0A8-81E4-46B7-BE10-39AD612F2976}"/>
    <cellStyle name="Vírgula 2 5 8" xfId="95" xr:uid="{4E0B96F4-4131-498F-B5ED-98EEDAD0DE79}"/>
    <cellStyle name="Vírgula 2 5 8 2" xfId="203" xr:uid="{E78D704C-9F66-49AA-A371-9A22E34208ED}"/>
    <cellStyle name="Vírgula 2 5 9" xfId="107" xr:uid="{2246CC58-3088-4BF2-9560-48ED47B3FB40}"/>
    <cellStyle name="Vírgula 2 5 9 2" xfId="215" xr:uid="{BD04C82D-01A8-421A-AE40-E989BF1A4386}"/>
    <cellStyle name="Vírgula 2 6" xfId="13" xr:uid="{AC8B9B68-8EEA-4EE5-A06E-7033EA2FC1AD}"/>
    <cellStyle name="Vírgula 2 6 10" xfId="121" xr:uid="{B4F15C2E-1253-4529-8513-113D941670C3}"/>
    <cellStyle name="Vírgula 2 6 2" xfId="25" xr:uid="{D115FB0E-7861-4DDA-8A12-D45D795862BB}"/>
    <cellStyle name="Vírgula 2 6 2 2" xfId="133" xr:uid="{401FBE82-A2F5-4FFE-B9F1-7989BEA1AE4B}"/>
    <cellStyle name="Vírgula 2 6 3" xfId="37" xr:uid="{8B05FDC9-1451-4DBF-81EB-8BD942913C6A}"/>
    <cellStyle name="Vírgula 2 6 3 2" xfId="145" xr:uid="{697B7473-1955-49BF-A886-F9E1B754FC08}"/>
    <cellStyle name="Vírgula 2 6 4" xfId="49" xr:uid="{F8184B90-F00A-4BB4-875D-4010C3382A23}"/>
    <cellStyle name="Vírgula 2 6 4 2" xfId="157" xr:uid="{57CCB602-8AF8-4E57-A6EB-345495F5EC8D}"/>
    <cellStyle name="Vírgula 2 6 5" xfId="61" xr:uid="{C7D1A586-44FE-4639-8741-F95DEEF9D0A1}"/>
    <cellStyle name="Vírgula 2 6 5 2" xfId="169" xr:uid="{1ACC150F-052A-48F8-AF4B-1AC25EE1985D}"/>
    <cellStyle name="Vírgula 2 6 6" xfId="73" xr:uid="{B35A0892-FDDE-4336-8CAD-8F404416CF69}"/>
    <cellStyle name="Vírgula 2 6 6 2" xfId="181" xr:uid="{F97E6C21-4F3E-4D01-B8F3-5DF4B7DB9E60}"/>
    <cellStyle name="Vírgula 2 6 7" xfId="85" xr:uid="{DCB91AFA-4820-47D7-A20E-13529869671E}"/>
    <cellStyle name="Vírgula 2 6 7 2" xfId="193" xr:uid="{959E4F3D-846F-4E77-B0FE-DC028B76870B}"/>
    <cellStyle name="Vírgula 2 6 8" xfId="97" xr:uid="{580DA3D1-129D-4876-A860-8C38565286B1}"/>
    <cellStyle name="Vírgula 2 6 8 2" xfId="205" xr:uid="{7471735C-E136-4FF6-B09A-A6A8E3B068AD}"/>
    <cellStyle name="Vírgula 2 6 9" xfId="109" xr:uid="{AAA5CB23-40F9-4AE3-89DC-EBAC823E7BC3}"/>
    <cellStyle name="Vírgula 2 6 9 2" xfId="217" xr:uid="{A03B7CF2-4DF9-4357-BD16-4C256F0B0D4C}"/>
    <cellStyle name="Vírgula 2 7" xfId="15" xr:uid="{1705A672-04C0-43ED-8D52-FE4F8B38BF8C}"/>
    <cellStyle name="Vírgula 2 7 2" xfId="123" xr:uid="{A8EB6AB0-9D4B-4D3B-B74A-277DBF0C0E78}"/>
    <cellStyle name="Vírgula 2 8" xfId="27" xr:uid="{9032E5E6-4B7E-406B-974F-8DB9D2142CFE}"/>
    <cellStyle name="Vírgula 2 8 2" xfId="135" xr:uid="{59A0CF51-674D-4FE7-B796-FF5777DB6650}"/>
    <cellStyle name="Vírgula 2 9" xfId="39" xr:uid="{2EFC0957-465C-4486-A812-73B0969547B2}"/>
    <cellStyle name="Vírgula 2 9 2" xfId="147" xr:uid="{0C2FFB88-6B00-43B3-8669-E29A548419F7}"/>
    <cellStyle name="Vírgula 3" xfId="1" xr:uid="{E550C407-2387-4C56-854D-8FEC4910E869}"/>
    <cellStyle name="Vírgula 3 10" xfId="62" xr:uid="{AE904097-4CF1-47F8-860D-A5F75B8E79F0}"/>
    <cellStyle name="Vírgula 3 10 2" xfId="170" xr:uid="{DECC6390-20AE-4C27-9068-E335473249C2}"/>
    <cellStyle name="Vírgula 3 11" xfId="74" xr:uid="{04C36664-1083-42FD-8E55-FA7FCFA24232}"/>
    <cellStyle name="Vírgula 3 11 2" xfId="182" xr:uid="{DE8E3BC0-0AE3-42D2-ADD5-E838963B6872}"/>
    <cellStyle name="Vírgula 3 12" xfId="86" xr:uid="{2E788317-FB2E-4AD4-8611-2699FC0A2869}"/>
    <cellStyle name="Vírgula 3 12 2" xfId="194" xr:uid="{8075B120-A7F7-45D6-B8ED-4F722E0E42BE}"/>
    <cellStyle name="Vírgula 3 13" xfId="98" xr:uid="{470BD2B3-EE99-4818-A177-6BD4DA13F60B}"/>
    <cellStyle name="Vírgula 3 13 2" xfId="206" xr:uid="{53ED28F0-9C9C-4024-9F4C-334AF77B9BCE}"/>
    <cellStyle name="Vírgula 3 14" xfId="110" xr:uid="{42C884F7-CEC6-4EED-A54C-2E30276E8200}"/>
    <cellStyle name="Vírgula 3 2" xfId="6" xr:uid="{1A7B8D39-1581-4E56-999F-1A9B3FB16CFC}"/>
    <cellStyle name="Vírgula 3 2 10" xfId="114" xr:uid="{EF6BCD19-32DF-4A1B-B518-01FB2872BC17}"/>
    <cellStyle name="Vírgula 3 2 2" xfId="18" xr:uid="{AED47D74-A01A-4E90-A4E5-37A5BED35A17}"/>
    <cellStyle name="Vírgula 3 2 2 2" xfId="126" xr:uid="{873AC975-B1BB-4D82-89A2-033A58727CCB}"/>
    <cellStyle name="Vírgula 3 2 3" xfId="30" xr:uid="{E7D60397-64BB-4503-81E8-E6BD50B56DB7}"/>
    <cellStyle name="Vírgula 3 2 3 2" xfId="138" xr:uid="{C547430D-94EC-4C22-9534-2D2EEA474E0C}"/>
    <cellStyle name="Vírgula 3 2 4" xfId="42" xr:uid="{030DFC44-E8D5-4289-A520-6F3FA77562A6}"/>
    <cellStyle name="Vírgula 3 2 4 2" xfId="150" xr:uid="{0EBB5465-8EB1-4FFB-A128-AFFE30EE5DF0}"/>
    <cellStyle name="Vírgula 3 2 5" xfId="54" xr:uid="{A85A7490-887E-4445-BBA0-732A1EF52EBD}"/>
    <cellStyle name="Vírgula 3 2 5 2" xfId="162" xr:uid="{4CFE20AD-1F50-4BE3-A94B-4775078A7561}"/>
    <cellStyle name="Vírgula 3 2 6" xfId="66" xr:uid="{D6DD1B15-84E1-4FCA-BC71-9C39ECD12314}"/>
    <cellStyle name="Vírgula 3 2 6 2" xfId="174" xr:uid="{E95EDC4F-EE5C-473F-9031-61A0C1EEA8F7}"/>
    <cellStyle name="Vírgula 3 2 7" xfId="78" xr:uid="{1426EA3B-0BA8-4FB4-BDCB-8926143672EC}"/>
    <cellStyle name="Vírgula 3 2 7 2" xfId="186" xr:uid="{6CD3BB27-586F-45DF-8986-7D65B418904F}"/>
    <cellStyle name="Vírgula 3 2 8" xfId="90" xr:uid="{16C968D2-60E1-4C03-8D67-B36CEF23D0CE}"/>
    <cellStyle name="Vírgula 3 2 8 2" xfId="198" xr:uid="{AB41E6F1-CE31-40B5-B10B-9B94C14C328B}"/>
    <cellStyle name="Vírgula 3 2 9" xfId="102" xr:uid="{61CEE6B6-BECE-4A0E-9CB8-666F7779D9D3}"/>
    <cellStyle name="Vírgula 3 2 9 2" xfId="210" xr:uid="{E0F45FB5-C3E4-461C-A9C7-F51E09D2E92B}"/>
    <cellStyle name="Vírgula 3 3" xfId="8" xr:uid="{07AB4284-CC86-41C3-80FD-FFCE7893AE2D}"/>
    <cellStyle name="Vírgula 3 3 10" xfId="116" xr:uid="{54840F14-6078-46F1-A6C1-9541D15164DE}"/>
    <cellStyle name="Vírgula 3 3 2" xfId="20" xr:uid="{E1AE47D7-572E-434B-9D07-AF82997CAE85}"/>
    <cellStyle name="Vírgula 3 3 2 2" xfId="128" xr:uid="{5E6CC96E-4A37-45BD-9750-D83DA88FF3F6}"/>
    <cellStyle name="Vírgula 3 3 3" xfId="32" xr:uid="{93FD0482-E70B-4308-A412-7A6CBF4D5901}"/>
    <cellStyle name="Vírgula 3 3 3 2" xfId="140" xr:uid="{2557CAB2-6292-4BD1-8BDF-D9CA455A08D6}"/>
    <cellStyle name="Vírgula 3 3 4" xfId="44" xr:uid="{C0BB9696-C855-42E6-87A4-B9EA4AD7385D}"/>
    <cellStyle name="Vírgula 3 3 4 2" xfId="152" xr:uid="{E1F1C7ED-83D3-41CB-A5D9-77907C1A4CCB}"/>
    <cellStyle name="Vírgula 3 3 5" xfId="56" xr:uid="{CB54ADFE-2F07-45D1-AEEC-84BA59C52048}"/>
    <cellStyle name="Vírgula 3 3 5 2" xfId="164" xr:uid="{917C34C4-2A95-4DC6-9C45-D2CC2D20066B}"/>
    <cellStyle name="Vírgula 3 3 6" xfId="68" xr:uid="{34BA9936-E1CF-4C41-9EC9-B7B990D0AAF6}"/>
    <cellStyle name="Vírgula 3 3 6 2" xfId="176" xr:uid="{1A87CC13-95C5-4934-8002-0DD8D3FCF480}"/>
    <cellStyle name="Vírgula 3 3 7" xfId="80" xr:uid="{B931774B-5984-45D0-A077-7093781FD619}"/>
    <cellStyle name="Vírgula 3 3 7 2" xfId="188" xr:uid="{9C8BF64D-4B3D-493C-9C37-ECFBBCE1A568}"/>
    <cellStyle name="Vírgula 3 3 8" xfId="92" xr:uid="{D8A6E446-0723-4D3B-8A84-B34417815B91}"/>
    <cellStyle name="Vírgula 3 3 8 2" xfId="200" xr:uid="{AE3AAE62-BCE2-49E4-B54A-22CC97128EE3}"/>
    <cellStyle name="Vírgula 3 3 9" xfId="104" xr:uid="{C0E66A84-4281-4325-A8AB-0048B57271C4}"/>
    <cellStyle name="Vírgula 3 3 9 2" xfId="212" xr:uid="{2A6D3C2E-5407-42B1-8B9E-3B0D64B16ABD}"/>
    <cellStyle name="Vírgula 3 4" xfId="10" xr:uid="{E82F5D28-759F-448A-A0D4-A84213829F9A}"/>
    <cellStyle name="Vírgula 3 4 10" xfId="118" xr:uid="{0D4CC0CA-B661-410B-8A22-3AB93A02DEEB}"/>
    <cellStyle name="Vírgula 3 4 2" xfId="22" xr:uid="{551598AD-582C-4AAA-A6F2-00097D35AB1D}"/>
    <cellStyle name="Vírgula 3 4 2 2" xfId="130" xr:uid="{FDE404B4-F087-4F3E-9FBD-986D60D5EA8B}"/>
    <cellStyle name="Vírgula 3 4 3" xfId="34" xr:uid="{FE373871-C19D-4CF2-832A-752A06D6FCEB}"/>
    <cellStyle name="Vírgula 3 4 3 2" xfId="142" xr:uid="{1669AB8A-CC72-49EE-8A15-C87C1D11C5CE}"/>
    <cellStyle name="Vírgula 3 4 4" xfId="46" xr:uid="{0538FF13-39E5-4E0C-BD23-2A91A5F15238}"/>
    <cellStyle name="Vírgula 3 4 4 2" xfId="154" xr:uid="{E0FAA86C-6A37-473E-869A-B9E4A30CF86E}"/>
    <cellStyle name="Vírgula 3 4 5" xfId="58" xr:uid="{9F4E827B-A489-428E-8838-20E8BAC6D62D}"/>
    <cellStyle name="Vírgula 3 4 5 2" xfId="166" xr:uid="{51AAD544-CED4-4251-9C13-BDFBEC6A7C3A}"/>
    <cellStyle name="Vírgula 3 4 6" xfId="70" xr:uid="{6B67D58A-F892-458F-8A7A-19194E9D3CDC}"/>
    <cellStyle name="Vírgula 3 4 6 2" xfId="178" xr:uid="{3853A419-825F-4960-8F0B-684AA9AD9153}"/>
    <cellStyle name="Vírgula 3 4 7" xfId="82" xr:uid="{2BB39728-934C-4B3E-8DD2-91FC367FBB27}"/>
    <cellStyle name="Vírgula 3 4 7 2" xfId="190" xr:uid="{E8B46F77-D30D-49D4-BBB4-A3526C0A57A1}"/>
    <cellStyle name="Vírgula 3 4 8" xfId="94" xr:uid="{2B8C8165-0FAC-44AF-BB0A-30AC35C5D44E}"/>
    <cellStyle name="Vírgula 3 4 8 2" xfId="202" xr:uid="{38749C9D-3405-4C44-A210-BA6D5BA242B5}"/>
    <cellStyle name="Vírgula 3 4 9" xfId="106" xr:uid="{CD576CC0-27C0-4256-BA08-EDA5BBD58E6E}"/>
    <cellStyle name="Vírgula 3 4 9 2" xfId="214" xr:uid="{B2C13B08-873E-4676-A153-5F44BC1D60EE}"/>
    <cellStyle name="Vírgula 3 5" xfId="12" xr:uid="{792CA137-20A7-4AE2-9621-6CE3C16D8833}"/>
    <cellStyle name="Vírgula 3 5 10" xfId="120" xr:uid="{74B40165-7676-41EF-B61D-A77728D03C79}"/>
    <cellStyle name="Vírgula 3 5 2" xfId="24" xr:uid="{CDEDF65B-2201-4F92-9D4E-54654D419F11}"/>
    <cellStyle name="Vírgula 3 5 2 2" xfId="132" xr:uid="{5241D733-EBB8-49AD-9CE1-C0A90A1895B1}"/>
    <cellStyle name="Vírgula 3 5 3" xfId="36" xr:uid="{04910855-EF94-4543-B6B4-AE563ED3BC48}"/>
    <cellStyle name="Vírgula 3 5 3 2" xfId="144" xr:uid="{26E04442-8DE0-4693-B582-8D4ED9EFC868}"/>
    <cellStyle name="Vírgula 3 5 4" xfId="48" xr:uid="{27416779-B9B6-4B10-B228-3F5090E132B6}"/>
    <cellStyle name="Vírgula 3 5 4 2" xfId="156" xr:uid="{43A19435-8F32-4149-8401-08E393C7500A}"/>
    <cellStyle name="Vírgula 3 5 5" xfId="60" xr:uid="{5B6A4E92-2ED4-4B35-ABC2-0D13BA088478}"/>
    <cellStyle name="Vírgula 3 5 5 2" xfId="168" xr:uid="{4DA12024-D3D5-4193-B17B-FA8C9DD09CA2}"/>
    <cellStyle name="Vírgula 3 5 6" xfId="72" xr:uid="{5D55FC7A-A393-4567-8386-706C21D46C33}"/>
    <cellStyle name="Vírgula 3 5 6 2" xfId="180" xr:uid="{7FA8BC4B-D88B-494A-A40A-2D59105FC0D4}"/>
    <cellStyle name="Vírgula 3 5 7" xfId="84" xr:uid="{62F18991-AB75-4652-8168-E49494B4E3CC}"/>
    <cellStyle name="Vírgula 3 5 7 2" xfId="192" xr:uid="{5C62111F-5D5E-498E-B944-A9A13D5A5AD5}"/>
    <cellStyle name="Vírgula 3 5 8" xfId="96" xr:uid="{01B20C86-2080-433C-BB39-F0CC1082D02D}"/>
    <cellStyle name="Vírgula 3 5 8 2" xfId="204" xr:uid="{A91813F8-5503-4C6D-89A9-016939F7EDCE}"/>
    <cellStyle name="Vírgula 3 5 9" xfId="108" xr:uid="{306BF414-2F7D-483C-AC32-2617544AE738}"/>
    <cellStyle name="Vírgula 3 5 9 2" xfId="216" xr:uid="{FA85037D-4756-430D-8040-A44DB99C9E1F}"/>
    <cellStyle name="Vírgula 3 6" xfId="14" xr:uid="{5C4313B9-3287-4567-B1C7-AC2AFDD3F603}"/>
    <cellStyle name="Vírgula 3 6 2" xfId="122" xr:uid="{21FE1DD7-63A6-4C77-BAC2-2E48871EA4CD}"/>
    <cellStyle name="Vírgula 3 7" xfId="26" xr:uid="{6A079CB2-99FD-4814-83D9-B42454BCC404}"/>
    <cellStyle name="Vírgula 3 7 2" xfId="134" xr:uid="{F4DE72DF-F740-401A-8574-90B5DF765FEF}"/>
    <cellStyle name="Vírgula 3 8" xfId="38" xr:uid="{DD11A5A6-8C1F-44B9-8F2A-D94FA83C8B44}"/>
    <cellStyle name="Vírgula 3 8 2" xfId="146" xr:uid="{75704041-5274-411D-98D5-14F6B62F0450}"/>
    <cellStyle name="Vírgula 3 9" xfId="50" xr:uid="{5B563B6C-B5DB-47F6-9B02-208FF2227274}"/>
    <cellStyle name="Vírgula 3 9 2" xfId="158" xr:uid="{31DFE623-8A6D-451E-A359-05D661E04667}"/>
    <cellStyle name="Vírgula 4" xfId="3" xr:uid="{2E09B2C8-5A3C-46F2-AAD8-9E8B4BEF030E}"/>
    <cellStyle name="Vírgula 4 10" xfId="112" xr:uid="{4F71A0CA-42C3-4D69-B1FA-3039C8C91AA0}"/>
    <cellStyle name="Vírgula 4 2" xfId="16" xr:uid="{6C40780A-F9D4-42CD-BA4F-7E0F52C90195}"/>
    <cellStyle name="Vírgula 4 2 2" xfId="124" xr:uid="{5C9933B5-9795-4CA8-8B9B-0F1E806609DB}"/>
    <cellStyle name="Vírgula 4 3" xfId="28" xr:uid="{245CA4EC-11BD-48BF-BF51-E2A7B786075D}"/>
    <cellStyle name="Vírgula 4 3 2" xfId="136" xr:uid="{6321415D-03DA-46E0-AECA-0F067F7DB88C}"/>
    <cellStyle name="Vírgula 4 4" xfId="40" xr:uid="{4FD70313-A026-4D96-AA65-101BD09C00EA}"/>
    <cellStyle name="Vírgula 4 4 2" xfId="148" xr:uid="{40B50D76-7391-4BAA-942F-63F54F67FD4E}"/>
    <cellStyle name="Vírgula 4 5" xfId="52" xr:uid="{8F669791-C336-4176-9752-175C40A70B24}"/>
    <cellStyle name="Vírgula 4 5 2" xfId="160" xr:uid="{29241B68-F5C8-4E0A-B23D-85D4184094B6}"/>
    <cellStyle name="Vírgula 4 6" xfId="64" xr:uid="{9391C788-9F36-4E23-A84A-53D7B268B0AA}"/>
    <cellStyle name="Vírgula 4 6 2" xfId="172" xr:uid="{3675DBF0-D682-4CBC-BB11-2CA6DDD05436}"/>
    <cellStyle name="Vírgula 4 7" xfId="76" xr:uid="{A10F86E0-CCAF-4C3B-854D-2D99305F0F96}"/>
    <cellStyle name="Vírgula 4 7 2" xfId="184" xr:uid="{90F23717-2766-491E-82C2-22F918D94538}"/>
    <cellStyle name="Vírgula 4 8" xfId="88" xr:uid="{90B094B1-BC9E-4DC6-9CC2-C782252A79DA}"/>
    <cellStyle name="Vírgula 4 8 2" xfId="196" xr:uid="{82A158FD-7156-4790-AE4F-58F20962A2EF}"/>
    <cellStyle name="Vírgula 4 9" xfId="100" xr:uid="{2BC8810B-6808-427B-9890-F9A94051A10A}"/>
    <cellStyle name="Vírgula 4 9 2" xfId="208" xr:uid="{8E2A1CF6-3CF5-44B2-9A8A-62AFE271988A}"/>
  </cellStyles>
  <dxfs count="305">
    <dxf>
      <font>
        <b/>
        <i val="0"/>
        <color theme="7" tint="-0.24994659260841701"/>
      </font>
      <fill>
        <patternFill>
          <bgColor theme="7" tint="0.79998168889431442"/>
        </patternFill>
      </fill>
    </dxf>
    <dxf>
      <font>
        <b/>
        <i val="0"/>
        <color theme="8" tint="-0.499984740745262"/>
      </font>
      <fill>
        <patternFill>
          <bgColor theme="8" tint="0.59996337778862885"/>
        </patternFill>
      </fill>
    </dxf>
    <dxf>
      <font>
        <b/>
        <i val="0"/>
        <color rgb="FF6A2D97"/>
      </font>
      <fill>
        <patternFill>
          <bgColor rgb="FFD3B5E9"/>
        </patternFill>
      </fill>
    </dxf>
    <dxf>
      <font>
        <b/>
        <i val="0"/>
        <color rgb="FF008A45"/>
      </font>
      <fill>
        <patternFill>
          <bgColor rgb="FF99FFCC"/>
        </patternFill>
      </fill>
    </dxf>
    <dxf>
      <font>
        <b/>
        <i val="0"/>
        <color rgb="FFFF6600"/>
      </font>
      <fill>
        <patternFill>
          <bgColor rgb="FFFFC8A3"/>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theme="7" tint="-0.24994659260841701"/>
      </font>
      <fill>
        <patternFill>
          <bgColor theme="7" tint="0.79998168889431442"/>
        </patternFill>
      </fill>
    </dxf>
    <dxf>
      <font>
        <b/>
        <i val="0"/>
        <color theme="8" tint="-0.499984740745262"/>
      </font>
      <fill>
        <patternFill>
          <bgColor theme="8" tint="0.59996337778862885"/>
        </patternFill>
      </fill>
    </dxf>
    <dxf>
      <font>
        <b/>
        <i val="0"/>
        <color rgb="FF6A2D97"/>
      </font>
      <fill>
        <patternFill>
          <bgColor rgb="FFD3B5E9"/>
        </patternFill>
      </fill>
    </dxf>
    <dxf>
      <font>
        <b/>
        <i val="0"/>
        <color rgb="FF008A45"/>
      </font>
      <fill>
        <patternFill>
          <bgColor rgb="FF99FFCC"/>
        </patternFill>
      </fill>
    </dxf>
    <dxf>
      <font>
        <b/>
        <i val="0"/>
        <color rgb="FFFF6600"/>
      </font>
      <fill>
        <patternFill>
          <bgColor rgb="FFFFC8A3"/>
        </patternFill>
      </fill>
    </dxf>
    <dxf>
      <font>
        <b/>
        <i val="0"/>
        <color theme="7" tint="-0.24994659260841701"/>
      </font>
      <fill>
        <patternFill>
          <bgColor theme="7" tint="0.79998168889431442"/>
        </patternFill>
      </fill>
    </dxf>
    <dxf>
      <font>
        <b/>
        <i val="0"/>
        <color theme="8" tint="-0.499984740745262"/>
      </font>
      <fill>
        <patternFill>
          <bgColor theme="8" tint="0.59996337778862885"/>
        </patternFill>
      </fill>
    </dxf>
    <dxf>
      <font>
        <b/>
        <i val="0"/>
        <color rgb="FF6A2D97"/>
      </font>
      <fill>
        <patternFill>
          <bgColor rgb="FFD3B5E9"/>
        </patternFill>
      </fill>
    </dxf>
    <dxf>
      <font>
        <b/>
        <i val="0"/>
        <color rgb="FF008A45"/>
      </font>
      <fill>
        <patternFill>
          <bgColor rgb="FF99FFCC"/>
        </patternFill>
      </fill>
    </dxf>
    <dxf>
      <font>
        <b/>
        <i val="0"/>
        <color rgb="FFFF6600"/>
      </font>
      <fill>
        <patternFill>
          <bgColor rgb="FFFFC8A3"/>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theme="7" tint="-0.24994659260841701"/>
      </font>
      <fill>
        <patternFill>
          <bgColor theme="7" tint="0.79998168889431442"/>
        </patternFill>
      </fill>
    </dxf>
    <dxf>
      <font>
        <b/>
        <i val="0"/>
        <color theme="8" tint="-0.499984740745262"/>
      </font>
      <fill>
        <patternFill>
          <bgColor theme="8" tint="0.59996337778862885"/>
        </patternFill>
      </fill>
    </dxf>
    <dxf>
      <font>
        <b/>
        <i val="0"/>
        <color theme="7" tint="-0.24994659260841701"/>
      </font>
      <fill>
        <patternFill>
          <bgColor theme="7" tint="0.79998168889431442"/>
        </patternFill>
      </fill>
    </dxf>
    <dxf>
      <font>
        <b/>
        <i val="0"/>
        <color theme="8" tint="-0.499984740745262"/>
      </font>
      <fill>
        <patternFill>
          <bgColor theme="8" tint="0.59996337778862885"/>
        </patternFill>
      </fill>
    </dxf>
    <dxf>
      <font>
        <b/>
        <i val="0"/>
        <color rgb="FF6A2D97"/>
      </font>
      <fill>
        <patternFill>
          <bgColor rgb="FFD3B5E9"/>
        </patternFill>
      </fill>
    </dxf>
    <dxf>
      <font>
        <b/>
        <i val="0"/>
        <color rgb="FF008A45"/>
      </font>
      <fill>
        <patternFill>
          <bgColor rgb="FF99FFCC"/>
        </patternFill>
      </fill>
    </dxf>
    <dxf>
      <font>
        <b/>
        <i val="0"/>
        <color rgb="FFFF6600"/>
      </font>
      <fill>
        <patternFill>
          <bgColor rgb="FFFFC8A3"/>
        </patternFill>
      </fill>
    </dxf>
    <dxf>
      <font>
        <b/>
        <i val="0"/>
        <color rgb="FFB98E2D"/>
      </font>
      <fill>
        <patternFill>
          <bgColor rgb="FFF8F0DE"/>
        </patternFill>
      </fill>
    </dxf>
    <dxf>
      <font>
        <b/>
        <i val="0"/>
        <color rgb="FF395751"/>
      </font>
      <fill>
        <patternFill>
          <bgColor rgb="FFCADBD7"/>
        </patternFill>
      </fill>
    </dxf>
    <dxf>
      <font>
        <b/>
        <i val="0"/>
        <color rgb="FFB98E2D"/>
      </font>
      <fill>
        <patternFill>
          <bgColor rgb="FFF8F0DE"/>
        </patternFill>
      </fill>
    </dxf>
    <dxf>
      <font>
        <b/>
        <i val="0"/>
        <color rgb="FF395751"/>
      </font>
      <fill>
        <patternFill>
          <bgColor rgb="FFCADBD7"/>
        </patternFill>
      </fill>
    </dxf>
    <dxf>
      <font>
        <b/>
        <i val="0"/>
        <color rgb="FF6A2D97"/>
      </font>
      <fill>
        <patternFill>
          <bgColor rgb="FFD3B5E9"/>
        </patternFill>
      </fill>
    </dxf>
    <dxf>
      <font>
        <b/>
        <i val="0"/>
        <color rgb="FF008A45"/>
      </font>
      <fill>
        <patternFill>
          <bgColor rgb="FF99FFCC"/>
        </patternFill>
      </fill>
    </dxf>
    <dxf>
      <font>
        <b/>
        <i val="0"/>
        <color rgb="FFFF6600"/>
      </font>
      <fill>
        <patternFill>
          <bgColor rgb="FFFFC8A3"/>
        </patternFill>
      </fill>
    </dxf>
    <dxf>
      <font>
        <b/>
        <i val="0"/>
        <color theme="7" tint="-0.24994659260841701"/>
      </font>
      <fill>
        <patternFill>
          <bgColor theme="7" tint="0.79998168889431442"/>
        </patternFill>
      </fill>
    </dxf>
    <dxf>
      <font>
        <b/>
        <i val="0"/>
        <color theme="8" tint="-0.499984740745262"/>
      </font>
      <fill>
        <patternFill>
          <bgColor theme="8" tint="0.59996337778862885"/>
        </patternFill>
      </fill>
    </dxf>
    <dxf>
      <font>
        <b/>
        <i val="0"/>
        <color theme="7" tint="-0.24994659260841701"/>
      </font>
      <fill>
        <patternFill>
          <bgColor theme="7" tint="0.79998168889431442"/>
        </patternFill>
      </fill>
    </dxf>
    <dxf>
      <font>
        <b/>
        <i val="0"/>
        <color theme="8" tint="-0.499984740745262"/>
      </font>
      <fill>
        <patternFill>
          <bgColor theme="8" tint="0.59996337778862885"/>
        </patternFill>
      </fill>
    </dxf>
    <dxf>
      <font>
        <b/>
        <i val="0"/>
        <color rgb="FF6A2D97"/>
      </font>
      <fill>
        <patternFill>
          <bgColor rgb="FFD3B5E9"/>
        </patternFill>
      </fill>
    </dxf>
    <dxf>
      <font>
        <b/>
        <i val="0"/>
        <color rgb="FF008A45"/>
      </font>
      <fill>
        <patternFill>
          <bgColor rgb="FF99FFCC"/>
        </patternFill>
      </fill>
    </dxf>
    <dxf>
      <font>
        <b/>
        <i val="0"/>
        <color rgb="FFFF6600"/>
      </font>
      <fill>
        <patternFill>
          <bgColor rgb="FFFFC8A3"/>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theme="7" tint="-0.24994659260841701"/>
      </font>
      <fill>
        <patternFill>
          <bgColor theme="7" tint="0.79998168889431442"/>
        </patternFill>
      </fill>
    </dxf>
    <dxf>
      <font>
        <b/>
        <i val="0"/>
        <color theme="8" tint="-0.499984740745262"/>
      </font>
      <fill>
        <patternFill>
          <bgColor theme="8" tint="0.59996337778862885"/>
        </patternFill>
      </fill>
    </dxf>
    <dxf>
      <font>
        <b/>
        <i val="0"/>
        <color rgb="FF6A2D97"/>
      </font>
      <fill>
        <patternFill>
          <bgColor rgb="FFD3B5E9"/>
        </patternFill>
      </fill>
    </dxf>
    <dxf>
      <font>
        <b/>
        <i val="0"/>
        <color rgb="FF008A45"/>
      </font>
      <fill>
        <patternFill>
          <bgColor rgb="FF99FFCC"/>
        </patternFill>
      </fill>
    </dxf>
    <dxf>
      <font>
        <b/>
        <i val="0"/>
        <color rgb="FFFF6600"/>
      </font>
      <fill>
        <patternFill>
          <bgColor rgb="FFFFC8A3"/>
        </patternFill>
      </fill>
    </dxf>
    <dxf>
      <font>
        <b/>
        <i val="0"/>
        <color theme="7" tint="-0.24994659260841701"/>
      </font>
      <fill>
        <patternFill>
          <bgColor theme="7" tint="0.79998168889431442"/>
        </patternFill>
      </fill>
    </dxf>
    <dxf>
      <font>
        <b/>
        <i val="0"/>
        <color theme="8" tint="-0.499984740745262"/>
      </font>
      <fill>
        <patternFill>
          <bgColor theme="8" tint="0.59996337778862885"/>
        </patternFill>
      </fill>
    </dxf>
    <dxf>
      <font>
        <b/>
        <i val="0"/>
        <color rgb="FF6A2D97"/>
      </font>
      <fill>
        <patternFill>
          <bgColor rgb="FFD3B5E9"/>
        </patternFill>
      </fill>
    </dxf>
    <dxf>
      <font>
        <b/>
        <i val="0"/>
        <color rgb="FF008A45"/>
      </font>
      <fill>
        <patternFill>
          <bgColor rgb="FF99FFCC"/>
        </patternFill>
      </fill>
    </dxf>
    <dxf>
      <font>
        <b/>
        <i val="0"/>
        <color rgb="FFFF6600"/>
      </font>
      <fill>
        <patternFill>
          <bgColor rgb="FFFFC8A3"/>
        </patternFill>
      </fill>
    </dxf>
    <dxf>
      <font>
        <b/>
        <i val="0"/>
        <color theme="7" tint="-0.24994659260841701"/>
      </font>
      <fill>
        <patternFill>
          <bgColor theme="7" tint="0.79998168889431442"/>
        </patternFill>
      </fill>
    </dxf>
    <dxf>
      <font>
        <b/>
        <i val="0"/>
        <color theme="8" tint="-0.499984740745262"/>
      </font>
      <fill>
        <patternFill>
          <bgColor theme="8" tint="0.59996337778862885"/>
        </patternFill>
      </fill>
    </dxf>
    <dxf>
      <font>
        <b/>
        <i val="0"/>
        <color rgb="FF6A2D97"/>
      </font>
      <fill>
        <patternFill>
          <bgColor rgb="FFD3B5E9"/>
        </patternFill>
      </fill>
    </dxf>
    <dxf>
      <font>
        <b/>
        <i val="0"/>
        <color rgb="FF008A45"/>
      </font>
      <fill>
        <patternFill>
          <bgColor rgb="FF99FFCC"/>
        </patternFill>
      </fill>
    </dxf>
    <dxf>
      <font>
        <b/>
        <i val="0"/>
        <color rgb="FFFF6600"/>
      </font>
      <fill>
        <patternFill>
          <bgColor rgb="FFFFC8A3"/>
        </patternFill>
      </fill>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ahnschrift"/>
        <scheme val="none"/>
      </font>
      <numFmt numFmtId="19" formatCode="dd/mm/yyyy"/>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name val="Bahnschrift"/>
        <scheme val="none"/>
      </font>
      <numFmt numFmtId="19" formatCode="dd/mm/yyyy"/>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numFmt numFmtId="22" formatCode="mmm/yy"/>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0"/>
        <name val="Bahnschrift"/>
        <scheme val="none"/>
      </font>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0"/>
        <color theme="0"/>
        <name val="Bahnschrift"/>
        <scheme val="none"/>
      </font>
      <fill>
        <patternFill patternType="solid">
          <fgColor indexed="64"/>
          <bgColor rgb="FF64042F"/>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numFmt numFmtId="19" formatCode="dd/mm/yyyy"/>
      <fill>
        <patternFill>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numFmt numFmtId="19" formatCode="dd/mm/yyyy"/>
      <fill>
        <patternFill>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numFmt numFmtId="19" formatCode="dd/mm/yyyy"/>
      <fill>
        <patternFill>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numFmt numFmtId="19" formatCode="dd/mm/yyyy"/>
      <fill>
        <patternFill>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numFmt numFmtId="19" formatCode="dd/mm/yyyy"/>
      <fill>
        <patternFill>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numFmt numFmtId="19" formatCode="dd/mm/yyyy"/>
      <fill>
        <patternFill>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numFmt numFmtId="19" formatCode="dd/mm/yyyy"/>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numFmt numFmtId="19" formatCode="dd/mm/yyyy"/>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ahnschrift"/>
        <scheme val="none"/>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ahnschrift"/>
        <scheme val="none"/>
      </font>
      <numFmt numFmtId="19" formatCode="dd/mm/yyyy"/>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name val="Bahnschrift"/>
        <scheme val="none"/>
      </font>
      <numFmt numFmtId="19" formatCode="dd/mm/yyyy"/>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numFmt numFmtId="22" formatCode="mmm/yy"/>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0"/>
        <name val="Bahnschrift"/>
        <scheme val="none"/>
      </font>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0"/>
        <color theme="0"/>
        <name val="Bahnschrift"/>
        <scheme val="none"/>
      </font>
      <fill>
        <patternFill patternType="solid">
          <fgColor indexed="64"/>
          <bgColor rgb="FF64042F"/>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horizontal="center"/>
    </dxf>
    <dxf>
      <fill>
        <patternFill patternType="none">
          <fgColor indexed="64"/>
          <bgColor auto="1"/>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19" formatCode="dd/mm/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Bahnschrift"/>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ahnschrif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ahnschrift"/>
        <family val="2"/>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ahnschrift"/>
        <family val="2"/>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Bahnschrift"/>
        <family val="2"/>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Bahnschrift"/>
        <scheme val="none"/>
      </font>
      <fill>
        <patternFill patternType="none">
          <fgColor indexed="64"/>
          <bgColor auto="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0"/>
        <color theme="0"/>
        <name val="Bahnschrift"/>
        <scheme val="none"/>
      </font>
      <fill>
        <patternFill patternType="solid">
          <fgColor indexed="64"/>
          <bgColor rgb="FF64042F"/>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1" defaultTableStyle="TableStyleMedium2" defaultPivotStyle="PivotStyleLight16">
    <tableStyle name="Estilo de Tabela 1" pivot="0" count="0" xr9:uid="{00000000-0011-0000-FFFF-FFFF00000000}"/>
  </tableStyles>
  <colors>
    <mruColors>
      <color rgb="FF00CC66"/>
      <color rgb="FFFDF0E7"/>
      <color rgb="FF990033"/>
      <color rgb="FF111E29"/>
      <color rgb="FF366082"/>
      <color rgb="FF7CA89F"/>
      <color rgb="FFFF964F"/>
      <color rgb="FF9F5FCF"/>
      <color rgb="FFCC99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microsoft.com/office/2007/relationships/slicerCache" Target="slicerCaches/slicerCache4.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pivotCacheDefinition" Target="pivotCache/pivotCacheDefinition1.xml"/><Relationship Id="rId29"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microsoft.com/office/2007/relationships/slicerCache" Target="slicerCaches/slicerCache3.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microsoft.com/office/2007/relationships/slicerCache" Target="slicerCaches/slicerCache2.xml"/><Relationship Id="rId28" Type="http://schemas.microsoft.com/office/2007/relationships/slicerCache" Target="slicerCaches/slicerCache7.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[Monitoramento - Acidentes e Incidentes (CGB).xlsx]Painel Acidentes!Tabela dinâmica2</c:name>
    <c:fmtId val="1"/>
  </c:pivotSource>
  <c:chart>
    <c:autoTitleDeleted val="1"/>
    <c:pivotFmts>
      <c:pivotFmt>
        <c:idx val="0"/>
        <c:spPr>
          <a:solidFill>
            <a:schemeClr val="accent1">
              <a:lumMod val="50000"/>
            </a:schemeClr>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600"/>
          </a:solidFill>
          <a:ln w="12700">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pivotFmt>
      <c:pivotFmt>
        <c:idx val="6"/>
        <c:spPr>
          <a:solidFill>
            <a:srgbClr val="00CC66"/>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6699"/>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FFF"/>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900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pivotFmt>
      <c:pivotFmt>
        <c:idx val="14"/>
      </c:pivotFmt>
      <c:pivotFmt>
        <c:idx val="15"/>
        <c:spPr>
          <a:solidFill>
            <a:schemeClr val="accent4">
              <a:lumMod val="60000"/>
              <a:lumOff val="40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solidFill>
          <a:ln>
            <a:noFill/>
          </a:ln>
          <a:effectLst/>
        </c:spPr>
      </c:pivotFmt>
      <c:pivotFmt>
        <c:idx val="18"/>
        <c:spPr>
          <a:solidFill>
            <a:schemeClr val="accent2">
              <a:lumMod val="50000"/>
            </a:schemeClr>
          </a:solidFill>
          <a:ln>
            <a:noFill/>
          </a:ln>
          <a:effectLst/>
        </c:spPr>
      </c:pivotFmt>
      <c:pivotFmt>
        <c:idx val="19"/>
        <c:spPr>
          <a:solidFill>
            <a:schemeClr val="accent6"/>
          </a:solidFill>
          <a:ln>
            <a:noFill/>
          </a:ln>
          <a:effectLst/>
        </c:spPr>
      </c:pivotFmt>
      <c:pivotFmt>
        <c:idx val="20"/>
      </c:pivotFmt>
      <c:pivotFmt>
        <c:idx val="21"/>
        <c:spPr>
          <a:solidFill>
            <a:schemeClr val="accent1">
              <a:lumMod val="50000"/>
            </a:schemeClr>
          </a:solidFill>
          <a:ln>
            <a:noFill/>
          </a:ln>
          <a:effectLst/>
        </c:spPr>
      </c:pivotFmt>
      <c:pivotFmt>
        <c:idx val="22"/>
        <c:spPr>
          <a:solidFill>
            <a:schemeClr val="accent3"/>
          </a:solidFill>
          <a:ln>
            <a:noFill/>
          </a:ln>
          <a:effectLst/>
        </c:spPr>
      </c:pivotFmt>
    </c:pivotFmts>
    <c:plotArea>
      <c:layout>
        <c:manualLayout>
          <c:layoutTarget val="inner"/>
          <c:xMode val="edge"/>
          <c:yMode val="edge"/>
          <c:x val="1.084583541658256E-2"/>
          <c:y val="0.24566725281273538"/>
          <c:w val="0.97830832916683486"/>
          <c:h val="0.5197524959937404"/>
        </c:manualLayout>
      </c:layout>
      <c:barChart>
        <c:barDir val="col"/>
        <c:grouping val="clustered"/>
        <c:varyColors val="0"/>
        <c:ser>
          <c:idx val="0"/>
          <c:order val="0"/>
          <c:tx>
            <c:strRef>
              <c:f>'Painel Acidentes'!$AS$4</c:f>
              <c:strCache>
                <c:ptCount val="1"/>
                <c:pt idx="0">
                  <c:v>Total</c:v>
                </c:pt>
              </c:strCache>
            </c:strRef>
          </c:tx>
          <c:spPr>
            <a:solidFill>
              <a:srgbClr val="990033"/>
            </a:solidFill>
            <a:ln>
              <a:noFill/>
            </a:ln>
            <a:effectLst/>
          </c:spPr>
          <c:invertIfNegative val="0"/>
          <c:dPt>
            <c:idx val="0"/>
            <c:invertIfNegative val="0"/>
            <c:bubble3D val="0"/>
            <c:extLst>
              <c:ext xmlns:c16="http://schemas.microsoft.com/office/drawing/2014/chart" uri="{C3380CC4-5D6E-409C-BE32-E72D297353CC}">
                <c16:uniqueId val="{00000000-D24D-43EC-BFEA-7548CC7B62C3}"/>
              </c:ext>
            </c:extLst>
          </c:dPt>
          <c:dPt>
            <c:idx val="1"/>
            <c:invertIfNegative val="0"/>
            <c:bubble3D val="0"/>
            <c:extLst>
              <c:ext xmlns:c16="http://schemas.microsoft.com/office/drawing/2014/chart" uri="{C3380CC4-5D6E-409C-BE32-E72D297353CC}">
                <c16:uniqueId val="{00000001-D24D-43EC-BFEA-7548CC7B62C3}"/>
              </c:ext>
            </c:extLst>
          </c:dPt>
          <c:dPt>
            <c:idx val="3"/>
            <c:invertIfNegative val="0"/>
            <c:bubble3D val="0"/>
            <c:extLst>
              <c:ext xmlns:c16="http://schemas.microsoft.com/office/drawing/2014/chart" uri="{C3380CC4-5D6E-409C-BE32-E72D297353CC}">
                <c16:uniqueId val="{00000002-D24D-43EC-BFEA-7548CC7B62C3}"/>
              </c:ext>
            </c:extLst>
          </c:dPt>
          <c:dPt>
            <c:idx val="4"/>
            <c:invertIfNegative val="0"/>
            <c:bubble3D val="0"/>
            <c:extLst>
              <c:ext xmlns:c16="http://schemas.microsoft.com/office/drawing/2014/chart" uri="{C3380CC4-5D6E-409C-BE32-E72D297353CC}">
                <c16:uniqueId val="{00000003-D24D-43EC-BFEA-7548CC7B62C3}"/>
              </c:ext>
            </c:extLst>
          </c:dPt>
          <c:dPt>
            <c:idx val="5"/>
            <c:invertIfNegative val="0"/>
            <c:bubble3D val="0"/>
            <c:extLst>
              <c:ext xmlns:c16="http://schemas.microsoft.com/office/drawing/2014/chart" uri="{C3380CC4-5D6E-409C-BE32-E72D297353CC}">
                <c16:uniqueId val="{00000004-D24D-43EC-BFEA-7548CC7B62C3}"/>
              </c:ext>
            </c:extLst>
          </c:dPt>
          <c:dPt>
            <c:idx val="6"/>
            <c:invertIfNegative val="0"/>
            <c:bubble3D val="0"/>
            <c:extLst>
              <c:ext xmlns:c16="http://schemas.microsoft.com/office/drawing/2014/chart" uri="{C3380CC4-5D6E-409C-BE32-E72D297353CC}">
                <c16:uniqueId val="{00000005-D24D-43EC-BFEA-7548CC7B62C3}"/>
              </c:ext>
            </c:extLst>
          </c:dPt>
          <c:dPt>
            <c:idx val="7"/>
            <c:invertIfNegative val="0"/>
            <c:bubble3D val="0"/>
            <c:extLst>
              <c:ext xmlns:c16="http://schemas.microsoft.com/office/drawing/2014/chart" uri="{C3380CC4-5D6E-409C-BE32-E72D297353CC}">
                <c16:uniqueId val="{00000006-D24D-43EC-BFEA-7548CC7B62C3}"/>
              </c:ext>
            </c:extLst>
          </c:dPt>
          <c:dPt>
            <c:idx val="8"/>
            <c:invertIfNegative val="0"/>
            <c:bubble3D val="0"/>
            <c:extLst>
              <c:ext xmlns:c16="http://schemas.microsoft.com/office/drawing/2014/chart" uri="{C3380CC4-5D6E-409C-BE32-E72D297353CC}">
                <c16:uniqueId val="{00000007-D24D-43EC-BFEA-7548CC7B62C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'Painel Acidentes'!$AR$5:$AR$14</c:f>
              <c:strCache>
                <c:ptCount val="9"/>
                <c:pt idx="0">
                  <c:v>Jan</c:v>
                </c:pt>
                <c:pt idx="1">
                  <c:v>Fev</c:v>
                </c:pt>
                <c:pt idx="2">
                  <c:v>Abr</c:v>
                </c:pt>
                <c:pt idx="3">
                  <c:v>Mai</c:v>
                </c:pt>
                <c:pt idx="4">
                  <c:v>Jun</c:v>
                </c:pt>
                <c:pt idx="5">
                  <c:v>Jul</c:v>
                </c:pt>
                <c:pt idx="6">
                  <c:v>Ago</c:v>
                </c:pt>
                <c:pt idx="7">
                  <c:v>Set</c:v>
                </c:pt>
                <c:pt idx="8">
                  <c:v>Out</c:v>
                </c:pt>
              </c:strCache>
            </c:strRef>
          </c:cat>
          <c:val>
            <c:numRef>
              <c:f>'Painel Acidentes'!$AS$5:$AS$14</c:f>
              <c:numCache>
                <c:formatCode>General</c:formatCode>
                <c:ptCount val="9"/>
                <c:pt idx="0">
                  <c:v>2</c:v>
                </c:pt>
                <c:pt idx="1">
                  <c:v>2</c:v>
                </c:pt>
                <c:pt idx="2">
                  <c:v>2</c:v>
                </c:pt>
                <c:pt idx="3">
                  <c:v>5</c:v>
                </c:pt>
                <c:pt idx="4">
                  <c:v>2</c:v>
                </c:pt>
                <c:pt idx="5">
                  <c:v>5</c:v>
                </c:pt>
                <c:pt idx="6">
                  <c:v>3</c:v>
                </c:pt>
                <c:pt idx="7">
                  <c:v>1</c:v>
                </c:pt>
                <c:pt idx="8">
                  <c:v>2</c:v>
                </c:pt>
              </c:numCache>
            </c:numRef>
          </c:val>
          <c:extLst>
            <c:ext xmlns:c16="http://schemas.microsoft.com/office/drawing/2014/chart" uri="{C3380CC4-5D6E-409C-BE32-E72D297353CC}">
              <c16:uniqueId val="{00000000-93BF-4221-9F63-7324D02D1579}"/>
            </c:ext>
          </c:extLst>
        </c:ser>
        <c:dLbls>
          <c:dLblPos val="ctr"/>
          <c:showLegendKey val="0"/>
          <c:showVal val="1"/>
          <c:showCatName val="0"/>
          <c:showSerName val="0"/>
          <c:showPercent val="0"/>
          <c:showBubbleSize val="0"/>
        </c:dLbls>
        <c:gapWidth val="219"/>
        <c:axId val="433970256"/>
        <c:axId val="433964768"/>
      </c:barChart>
      <c:catAx>
        <c:axId val="43397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crossAx val="433964768"/>
        <c:crosses val="autoZero"/>
        <c:auto val="1"/>
        <c:lblAlgn val="ctr"/>
        <c:lblOffset val="100"/>
        <c:noMultiLvlLbl val="0"/>
      </c:catAx>
      <c:valAx>
        <c:axId val="433964768"/>
        <c:scaling>
          <c:orientation val="minMax"/>
        </c:scaling>
        <c:delete val="1"/>
        <c:axPos val="l"/>
        <c:numFmt formatCode="General" sourceLinked="1"/>
        <c:majorTickMark val="none"/>
        <c:minorTickMark val="none"/>
        <c:tickLblPos val="nextTo"/>
        <c:crossAx val="43397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0E7"/>
    </a:solidFill>
    <a:ln w="9525" cap="flat" cmpd="sng" algn="ctr">
      <a:noFill/>
      <a:round/>
    </a:ln>
    <a:effectLst/>
  </c:spPr>
  <c:txPr>
    <a:bodyPr/>
    <a:lstStyle/>
    <a:p>
      <a:pPr>
        <a:defRPr sz="1200" b="1"/>
      </a:pPr>
      <a:endParaRPr lang="pt-BR"/>
    </a:p>
  </c:txPr>
  <c:printSettings>
    <c:headerFooter/>
    <c:pageMargins b="0.78740157499999996" l="0.511811024" r="0.511811024" t="0.78740157499999996" header="0.31496062000000002" footer="0.31496062000000002"/>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[Monitoramento - Acidentes e Incidentes (CGB).xlsx]Painel Acidentes!Tabela dinâmica3</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w="19050">
            <a:solidFill>
              <a:schemeClr val="lt1"/>
            </a:solidFill>
          </a:ln>
          <a:effectLst/>
        </c:spPr>
      </c:pivotFmt>
      <c:pivotFmt>
        <c:idx val="2"/>
        <c:spPr>
          <a:solidFill>
            <a:srgbClr val="FF5050"/>
          </a:solidFill>
          <a:ln w="19050">
            <a:solidFill>
              <a:schemeClr val="lt1"/>
            </a:solidFill>
          </a:ln>
          <a:effectLst/>
        </c:spPr>
      </c:pivotFmt>
      <c:pivotFmt>
        <c:idx val="3"/>
        <c:spPr>
          <a:solidFill>
            <a:schemeClr val="accent1">
              <a:lumMod val="50000"/>
            </a:schemeClr>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5">
              <a:lumMod val="7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s>
    <c:plotArea>
      <c:layout/>
      <c:doughnutChart>
        <c:varyColors val="1"/>
        <c:ser>
          <c:idx val="0"/>
          <c:order val="0"/>
          <c:tx>
            <c:strRef>
              <c:f>'Painel Acidentes'!$BX$4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1CF-41E3-ABA5-2ED2A68434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CF-41E3-ABA5-2ED2A68434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D1CF-41E3-ABA5-2ED2A68434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4E-4607-9DDC-0A90AFF328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5C-419D-BA5D-48893C6B34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05C-419D-BA5D-48893C6B34B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05C-419D-BA5D-48893C6B34B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05C-419D-BA5D-48893C6B34B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05C-419D-BA5D-48893C6B34B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05C-419D-BA5D-48893C6B34B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05C-419D-BA5D-48893C6B34B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05C-419D-BA5D-48893C6B34B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05C-419D-BA5D-48893C6B34B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05C-419D-BA5D-48893C6B34B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48D-4D6F-9D9C-3E79219D2BB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48D-4D6F-9D9C-3E79219D2BB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48D-4D6F-9D9C-3E79219D2BB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48D-4D6F-9D9C-3E79219D2BB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'Painel Acidentes'!$BW$5:$BW$6</c:f>
              <c:strCache>
                <c:ptCount val="1"/>
                <c:pt idx="0">
                  <c:v>TÍPICO</c:v>
                </c:pt>
              </c:strCache>
            </c:strRef>
          </c:cat>
          <c:val>
            <c:numRef>
              <c:f>'Painel Acidentes'!$BX$5:$BX$6</c:f>
              <c:numCache>
                <c:formatCode>General</c:formatCode>
                <c:ptCount val="1"/>
                <c:pt idx="0">
                  <c:v>5</c:v>
                </c:pt>
              </c:numCache>
            </c:numRef>
          </c:val>
          <c:extLst>
            <c:ext xmlns:c16="http://schemas.microsoft.com/office/drawing/2014/chart" uri="{C3380CC4-5D6E-409C-BE32-E72D297353CC}">
              <c16:uniqueId val="{00000000-D1CF-41E3-ABA5-2ED2A6843403}"/>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59823129262782693"/>
          <c:y val="4.009342912046792E-2"/>
          <c:w val="0.33452940019361344"/>
          <c:h val="0.8572063263382679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0E7"/>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pivotSource>
    <c:name>[Monitoramento - Acidentes e Incidentes (CGB).xlsx]Painel Acidentes!Tabela dinâmica4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00"/>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5">
              <a:lumMod val="75000"/>
            </a:schemeClr>
          </a:solidFill>
          <a:ln w="19050">
            <a:solidFill>
              <a:schemeClr val="lt1"/>
            </a:solidFill>
          </a:ln>
          <a:effectLst/>
        </c:spPr>
      </c:pivotFmt>
      <c:pivotFmt>
        <c:idx val="4"/>
        <c:spPr>
          <a:solidFill>
            <a:srgbClr val="7030A0"/>
          </a:solidFill>
          <a:ln w="19050">
            <a:solidFill>
              <a:schemeClr val="lt1"/>
            </a:solidFill>
          </a:ln>
          <a:effectLst/>
        </c:spPr>
      </c:pivotFmt>
      <c:pivotFmt>
        <c:idx val="5"/>
        <c:spPr>
          <a:solidFill>
            <a:srgbClr val="008A45"/>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92D050"/>
          </a:solidFill>
          <a:ln w="19050">
            <a:solidFill>
              <a:schemeClr val="lt1"/>
            </a:solidFill>
          </a:ln>
          <a:effectLst/>
        </c:spPr>
      </c:pivotFmt>
      <c:pivotFmt>
        <c:idx val="8"/>
        <c:spPr>
          <a:solidFill>
            <a:srgbClr val="9F5FCF"/>
          </a:solidFill>
          <a:ln w="19050">
            <a:solidFill>
              <a:schemeClr val="lt1"/>
            </a:solidFill>
          </a:ln>
          <a:effectLst/>
        </c:spPr>
      </c:pivotFmt>
      <c:pivotFmt>
        <c:idx val="9"/>
        <c:spPr>
          <a:solidFill>
            <a:srgbClr val="FF964F"/>
          </a:solidFill>
          <a:ln w="19050">
            <a:solidFill>
              <a:schemeClr val="lt1"/>
            </a:solidFill>
          </a:ln>
          <a:effectLst/>
        </c:spPr>
      </c:pivotFmt>
      <c:pivotFmt>
        <c:idx val="10"/>
        <c:spPr>
          <a:solidFill>
            <a:srgbClr val="7CA89F"/>
          </a:solidFill>
          <a:ln w="19050">
            <a:solidFill>
              <a:schemeClr val="lt1"/>
            </a:solidFill>
          </a:ln>
          <a:effectLst/>
        </c:spPr>
      </c:pivotFmt>
      <c:pivotFmt>
        <c:idx val="11"/>
        <c:spPr>
          <a:solidFill>
            <a:schemeClr val="bg2">
              <a:lumMod val="75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
        <c:idx val="13"/>
        <c:spPr>
          <a:solidFill>
            <a:schemeClr val="accent1">
              <a:tint val="30000"/>
            </a:schemeClr>
          </a:solidFill>
          <a:ln w="19050">
            <a:solidFill>
              <a:schemeClr val="lt1"/>
            </a:solidFill>
          </a:ln>
          <a:effectLst/>
        </c:spPr>
      </c:pivotFmt>
    </c:pivotFmts>
    <c:plotArea>
      <c:layout/>
      <c:doughnutChart>
        <c:varyColors val="1"/>
        <c:ser>
          <c:idx val="0"/>
          <c:order val="0"/>
          <c:tx>
            <c:strRef>
              <c:f>'Painel Acidentes'!$CB$4</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2-7630-43B1-B098-3714DB2EBA04}"/>
              </c:ext>
            </c:extLst>
          </c:dPt>
          <c:dPt>
            <c:idx val="1"/>
            <c:bubble3D val="0"/>
            <c:spPr>
              <a:solidFill>
                <a:srgbClr val="9F5FCF"/>
              </a:solidFill>
              <a:ln w="19050">
                <a:solidFill>
                  <a:schemeClr val="lt1"/>
                </a:solidFill>
              </a:ln>
              <a:effectLst/>
            </c:spPr>
            <c:extLst>
              <c:ext xmlns:c16="http://schemas.microsoft.com/office/drawing/2014/chart" uri="{C3380CC4-5D6E-409C-BE32-E72D297353CC}">
                <c16:uniqueId val="{00000003-7630-43B1-B098-3714DB2EBA04}"/>
              </c:ext>
            </c:extLst>
          </c:dPt>
          <c:dPt>
            <c:idx val="2"/>
            <c:bubble3D val="0"/>
            <c:spPr>
              <a:solidFill>
                <a:srgbClr val="FF964F"/>
              </a:solidFill>
              <a:ln w="19050">
                <a:solidFill>
                  <a:schemeClr val="lt1"/>
                </a:solidFill>
              </a:ln>
              <a:effectLst/>
            </c:spPr>
            <c:extLst>
              <c:ext xmlns:c16="http://schemas.microsoft.com/office/drawing/2014/chart" uri="{C3380CC4-5D6E-409C-BE32-E72D297353CC}">
                <c16:uniqueId val="{00000004-7630-43B1-B098-3714DB2EBA04}"/>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7630-43B1-B098-3714DB2EBA04}"/>
              </c:ext>
            </c:extLst>
          </c:dPt>
          <c:dPt>
            <c:idx val="4"/>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6-7630-43B1-B098-3714DB2EBA04}"/>
              </c:ext>
            </c:extLst>
          </c:dPt>
          <c:dPt>
            <c:idx val="5"/>
            <c:bubble3D val="0"/>
            <c:spPr>
              <a:solidFill>
                <a:schemeClr val="accent1">
                  <a:tint val="2000"/>
                </a:schemeClr>
              </a:solidFill>
              <a:ln w="19050">
                <a:solidFill>
                  <a:schemeClr val="lt1"/>
                </a:solidFill>
              </a:ln>
              <a:effectLst/>
            </c:spPr>
            <c:extLst>
              <c:ext xmlns:c16="http://schemas.microsoft.com/office/drawing/2014/chart" uri="{C3380CC4-5D6E-409C-BE32-E72D297353CC}">
                <c16:uniqueId val="{0000000B-0BDE-4B55-84A8-C7BE1632391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'Painel Acidentes'!$CA$5:$CA$9</c:f>
              <c:strCache>
                <c:ptCount val="4"/>
                <c:pt idx="0">
                  <c:v>BCB</c:v>
                </c:pt>
                <c:pt idx="1">
                  <c:v>ITM</c:v>
                </c:pt>
                <c:pt idx="2">
                  <c:v>PDS</c:v>
                </c:pt>
                <c:pt idx="3">
                  <c:v>STI</c:v>
                </c:pt>
              </c:strCache>
            </c:strRef>
          </c:cat>
          <c:val>
            <c:numRef>
              <c:f>'Painel Acidentes'!$CB$5:$CB$9</c:f>
              <c:numCache>
                <c:formatCode>General</c:formatCode>
                <c:ptCount val="4"/>
                <c:pt idx="0">
                  <c:v>1</c:v>
                </c:pt>
                <c:pt idx="1">
                  <c:v>1</c:v>
                </c:pt>
                <c:pt idx="2">
                  <c:v>1</c:v>
                </c:pt>
                <c:pt idx="3">
                  <c:v>2</c:v>
                </c:pt>
              </c:numCache>
            </c:numRef>
          </c:val>
          <c:extLst>
            <c:ext xmlns:c16="http://schemas.microsoft.com/office/drawing/2014/chart" uri="{C3380CC4-5D6E-409C-BE32-E72D297353CC}">
              <c16:uniqueId val="{00000000-7630-43B1-B098-3714DB2EBA04}"/>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7742912850179442"/>
          <c:y val="0.12646432407587202"/>
          <c:w val="0.1821713000160694"/>
          <c:h val="0.6807371025186620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0E7"/>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pivotSource>
    <c:name>[Monitoramento - Acidentes e Incidentes (CGB).xlsx]Painel Acidentes!Tabela dinâmica5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Bahnschrift" panose="020B0502040204020203" pitchFamily="34" charset="0"/>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42000"/>
            </a:schemeClr>
          </a:solidFill>
          <a:ln w="19050">
            <a:solidFill>
              <a:schemeClr val="lt1"/>
            </a:solidFill>
          </a:ln>
          <a:effectLst/>
        </c:spPr>
      </c:pivotFmt>
      <c:pivotFmt>
        <c:idx val="2"/>
        <c:spPr>
          <a:solidFill>
            <a:schemeClr val="accent1">
              <a:shade val="55000"/>
            </a:schemeClr>
          </a:solidFill>
          <a:ln w="19050">
            <a:solidFill>
              <a:schemeClr val="lt1"/>
            </a:solidFill>
          </a:ln>
          <a:effectLst/>
        </c:spPr>
      </c:pivotFmt>
      <c:pivotFmt>
        <c:idx val="3"/>
        <c:spPr>
          <a:solidFill>
            <a:schemeClr val="accent1">
              <a:shade val="68000"/>
            </a:schemeClr>
          </a:solidFill>
          <a:ln w="19050">
            <a:solidFill>
              <a:schemeClr val="lt1"/>
            </a:solidFill>
          </a:ln>
          <a:effectLst/>
        </c:spPr>
      </c:pivotFmt>
      <c:pivotFmt>
        <c:idx val="4"/>
        <c:spPr>
          <a:solidFill>
            <a:schemeClr val="accent1">
              <a:shade val="80000"/>
            </a:schemeClr>
          </a:solidFill>
          <a:ln w="19050">
            <a:solidFill>
              <a:schemeClr val="lt1"/>
            </a:solidFill>
          </a:ln>
          <a:effectLst/>
        </c:spPr>
      </c:pivotFmt>
      <c:pivotFmt>
        <c:idx val="5"/>
        <c:spPr>
          <a:solidFill>
            <a:schemeClr val="accent1">
              <a:shade val="93000"/>
            </a:schemeClr>
          </a:solidFill>
          <a:ln w="19050">
            <a:solidFill>
              <a:schemeClr val="lt1"/>
            </a:solidFill>
          </a:ln>
          <a:effectLst/>
        </c:spPr>
      </c:pivotFmt>
      <c:pivotFmt>
        <c:idx val="6"/>
        <c:spPr>
          <a:solidFill>
            <a:schemeClr val="accent1">
              <a:tint val="94000"/>
            </a:schemeClr>
          </a:solidFill>
          <a:ln w="19050">
            <a:solidFill>
              <a:schemeClr val="lt1"/>
            </a:solidFill>
          </a:ln>
          <a:effectLst/>
        </c:spPr>
      </c:pivotFmt>
      <c:pivotFmt>
        <c:idx val="7"/>
        <c:spPr>
          <a:solidFill>
            <a:schemeClr val="accent1">
              <a:tint val="81000"/>
            </a:schemeClr>
          </a:solidFill>
          <a:ln w="19050">
            <a:solidFill>
              <a:schemeClr val="lt1"/>
            </a:solidFill>
          </a:ln>
          <a:effectLst/>
        </c:spPr>
      </c:pivotFmt>
      <c:pivotFmt>
        <c:idx val="8"/>
        <c:spPr>
          <a:solidFill>
            <a:schemeClr val="accent1">
              <a:tint val="69000"/>
            </a:schemeClr>
          </a:solidFill>
          <a:ln w="19050">
            <a:solidFill>
              <a:schemeClr val="lt1"/>
            </a:solidFill>
          </a:ln>
          <a:effectLst/>
        </c:spPr>
      </c:pivotFmt>
      <c:pivotFmt>
        <c:idx val="9"/>
        <c:spPr>
          <a:solidFill>
            <a:schemeClr val="accent1">
              <a:tint val="56000"/>
            </a:schemeClr>
          </a:solidFill>
          <a:ln w="19050">
            <a:solidFill>
              <a:schemeClr val="lt1"/>
            </a:solidFill>
          </a:ln>
          <a:effectLst/>
        </c:spPr>
      </c:pivotFmt>
      <c:pivotFmt>
        <c:idx val="10"/>
        <c:spPr>
          <a:solidFill>
            <a:schemeClr val="accent1">
              <a:tint val="43000"/>
            </a:schemeClr>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tint val="65000"/>
            </a:schemeClr>
          </a:solidFill>
          <a:ln w="19050">
            <a:solidFill>
              <a:schemeClr val="lt1"/>
            </a:solidFill>
          </a:ln>
          <a:effectLst/>
        </c:spPr>
      </c:pivotFmt>
      <c:pivotFmt>
        <c:idx val="14"/>
        <c:spPr>
          <a:solidFill>
            <a:schemeClr val="accent1">
              <a:lumMod val="50000"/>
            </a:schemeClr>
          </a:solidFill>
          <a:ln w="19050">
            <a:solidFill>
              <a:schemeClr val="lt1"/>
            </a:solidFill>
          </a:ln>
          <a:effectLst/>
        </c:spPr>
      </c:pivotFmt>
      <c:pivotFmt>
        <c:idx val="15"/>
        <c:spPr>
          <a:solidFill>
            <a:srgbClr val="111E29"/>
          </a:solidFill>
          <a:ln w="19050">
            <a:solidFill>
              <a:schemeClr val="lt1"/>
            </a:solidFill>
          </a:ln>
          <a:effectLst/>
        </c:spPr>
      </c:pivotFmt>
      <c:pivotFmt>
        <c:idx val="16"/>
        <c:spPr>
          <a:solidFill>
            <a:schemeClr val="accent1">
              <a:tint val="65000"/>
            </a:schemeClr>
          </a:solidFill>
          <a:ln w="19050">
            <a:solidFill>
              <a:schemeClr val="lt1"/>
            </a:solidFill>
          </a:ln>
          <a:effectLst/>
        </c:spPr>
      </c:pivotFmt>
      <c:pivotFmt>
        <c:idx val="17"/>
        <c:spPr>
          <a:solidFill>
            <a:srgbClr val="00B0F0"/>
          </a:solidFill>
          <a:ln w="19050">
            <a:solidFill>
              <a:schemeClr val="lt1"/>
            </a:solidFill>
          </a:ln>
          <a:effectLst/>
        </c:spPr>
      </c:pivotFmt>
      <c:pivotFmt>
        <c:idx val="18"/>
        <c:spPr>
          <a:solidFill>
            <a:schemeClr val="accent1">
              <a:tint val="77000"/>
            </a:schemeClr>
          </a:solidFill>
          <a:ln w="19050">
            <a:solidFill>
              <a:schemeClr val="lt1"/>
            </a:solidFill>
          </a:ln>
          <a:effectLst/>
        </c:spPr>
      </c:pivotFmt>
      <c:pivotFmt>
        <c:idx val="19"/>
        <c:spPr>
          <a:solidFill>
            <a:schemeClr val="accent1">
              <a:tint val="77000"/>
            </a:schemeClr>
          </a:solidFill>
          <a:ln w="19050">
            <a:solidFill>
              <a:schemeClr val="lt1"/>
            </a:solidFill>
          </a:ln>
          <a:effectLst/>
        </c:spPr>
      </c:pivotFmt>
      <c:pivotFmt>
        <c:idx val="20"/>
        <c:spPr>
          <a:solidFill>
            <a:schemeClr val="accent1">
              <a:tint val="65000"/>
            </a:schemeClr>
          </a:solidFill>
          <a:ln w="19050">
            <a:solidFill>
              <a:schemeClr val="lt1"/>
            </a:solidFill>
          </a:ln>
          <a:effectLst/>
        </c:spPr>
      </c:pivotFmt>
      <c:pivotFmt>
        <c:idx val="21"/>
        <c:spPr>
          <a:solidFill>
            <a:schemeClr val="accent1">
              <a:tint val="54000"/>
            </a:schemeClr>
          </a:solidFill>
          <a:ln w="19050">
            <a:solidFill>
              <a:schemeClr val="lt1"/>
            </a:solidFill>
          </a:ln>
          <a:effectLst/>
        </c:spPr>
      </c:pivotFmt>
    </c:pivotFmts>
    <c:plotArea>
      <c:layout/>
      <c:doughnutChart>
        <c:varyColors val="1"/>
        <c:ser>
          <c:idx val="0"/>
          <c:order val="0"/>
          <c:tx>
            <c:strRef>
              <c:f>'Painel Acidentes'!$CF$4</c:f>
              <c:strCache>
                <c:ptCount val="1"/>
                <c:pt idx="0">
                  <c:v>Total</c:v>
                </c:pt>
              </c:strCache>
            </c:strRef>
          </c:tx>
          <c:dPt>
            <c:idx val="0"/>
            <c:bubble3D val="0"/>
            <c:spPr>
              <a:solidFill>
                <a:srgbClr val="111E29"/>
              </a:solidFill>
              <a:ln w="19050">
                <a:solidFill>
                  <a:schemeClr val="lt1"/>
                </a:solidFill>
              </a:ln>
              <a:effectLst/>
            </c:spPr>
            <c:extLst>
              <c:ext xmlns:c16="http://schemas.microsoft.com/office/drawing/2014/chart" uri="{C3380CC4-5D6E-409C-BE32-E72D297353CC}">
                <c16:uniqueId val="{00000001-F4E2-4432-895E-ABAE96B37F9E}"/>
              </c:ext>
            </c:extLst>
          </c:dPt>
          <c:dPt>
            <c:idx val="1"/>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3-F4E2-4432-895E-ABAE96B37F9E}"/>
              </c:ext>
            </c:extLst>
          </c:dPt>
          <c:dPt>
            <c:idx val="2"/>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5-F4E2-4432-895E-ABAE96B37F9E}"/>
              </c:ext>
            </c:extLst>
          </c:dPt>
          <c:dPt>
            <c:idx val="3"/>
            <c:bubble3D val="0"/>
            <c:spPr>
              <a:solidFill>
                <a:schemeClr val="accent1">
                  <a:tint val="84000"/>
                </a:schemeClr>
              </a:solidFill>
              <a:ln w="19050">
                <a:solidFill>
                  <a:schemeClr val="lt1"/>
                </a:solidFill>
              </a:ln>
              <a:effectLst/>
            </c:spPr>
            <c:extLst>
              <c:ext xmlns:c16="http://schemas.microsoft.com/office/drawing/2014/chart" uri="{C3380CC4-5D6E-409C-BE32-E72D297353CC}">
                <c16:uniqueId val="{00000007-F4E2-4432-895E-ABAE96B37F9E}"/>
              </c:ext>
            </c:extLst>
          </c:dPt>
          <c:dPt>
            <c:idx val="4"/>
            <c:bubble3D val="0"/>
            <c:spPr>
              <a:solidFill>
                <a:schemeClr val="accent1">
                  <a:tint val="37000"/>
                </a:schemeClr>
              </a:solidFill>
              <a:ln w="19050">
                <a:solidFill>
                  <a:schemeClr val="lt1"/>
                </a:solidFill>
              </a:ln>
              <a:effectLst/>
            </c:spPr>
            <c:extLst>
              <c:ext xmlns:c16="http://schemas.microsoft.com/office/drawing/2014/chart" uri="{C3380CC4-5D6E-409C-BE32-E72D297353CC}">
                <c16:uniqueId val="{00000009-F4E2-4432-895E-ABAE96B37F9E}"/>
              </c:ext>
            </c:extLst>
          </c:dPt>
          <c:dPt>
            <c:idx val="5"/>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B-F4E2-4432-895E-ABAE96B37F9E}"/>
              </c:ext>
            </c:extLst>
          </c:dPt>
          <c:dPt>
            <c:idx val="6"/>
            <c:bubble3D val="0"/>
            <c:spPr>
              <a:solidFill>
                <a:schemeClr val="accent1">
                  <a:tint val="44000"/>
                </a:schemeClr>
              </a:solidFill>
              <a:ln w="19050">
                <a:solidFill>
                  <a:schemeClr val="lt1"/>
                </a:solidFill>
              </a:ln>
              <a:effectLst/>
            </c:spPr>
            <c:extLst>
              <c:ext xmlns:c16="http://schemas.microsoft.com/office/drawing/2014/chart" uri="{C3380CC4-5D6E-409C-BE32-E72D297353CC}">
                <c16:uniqueId val="{0000000D-F4E2-4432-895E-ABAE96B37F9E}"/>
              </c:ext>
            </c:extLst>
          </c:dPt>
          <c:dPt>
            <c:idx val="7"/>
            <c:bubble3D val="0"/>
            <c:spPr>
              <a:solidFill>
                <a:schemeClr val="accent1">
                  <a:tint val="97000"/>
                </a:schemeClr>
              </a:solidFill>
              <a:ln w="19050">
                <a:solidFill>
                  <a:schemeClr val="lt1"/>
                </a:solidFill>
              </a:ln>
              <a:effectLst/>
            </c:spPr>
            <c:extLst>
              <c:ext xmlns:c16="http://schemas.microsoft.com/office/drawing/2014/chart" uri="{C3380CC4-5D6E-409C-BE32-E72D297353CC}">
                <c16:uniqueId val="{0000000F-F4E2-4432-895E-ABAE96B37F9E}"/>
              </c:ext>
            </c:extLst>
          </c:dPt>
          <c:dPt>
            <c:idx val="8"/>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11-F4E2-4432-895E-ABAE96B37F9E}"/>
              </c:ext>
            </c:extLst>
          </c:dPt>
          <c:dPt>
            <c:idx val="9"/>
            <c:bubble3D val="0"/>
            <c:spPr>
              <a:solidFill>
                <a:schemeClr val="accent1">
                  <a:tint val="4000"/>
                </a:schemeClr>
              </a:solidFill>
              <a:ln w="19050">
                <a:solidFill>
                  <a:schemeClr val="lt1"/>
                </a:solidFill>
              </a:ln>
              <a:effectLst/>
            </c:spPr>
            <c:extLst>
              <c:ext xmlns:c16="http://schemas.microsoft.com/office/drawing/2014/chart" uri="{C3380CC4-5D6E-409C-BE32-E72D297353CC}">
                <c16:uniqueId val="{00000013-F4E2-4432-895E-ABAE96B37F9E}"/>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Bahnschrift" panose="020B0502040204020203" pitchFamily="34" charset="0"/>
                    <a:ea typeface="+mn-ea"/>
                    <a:cs typeface="+mn-cs"/>
                  </a:defRPr>
                </a:pPr>
                <a:endParaRPr lang="pt-B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'Painel Acidentes'!$CE$5:$CE$7</c:f>
              <c:strCache>
                <c:ptCount val="2"/>
                <c:pt idx="0">
                  <c:v>GOMAN</c:v>
                </c:pt>
                <c:pt idx="1">
                  <c:v>ALMOXARIFADO</c:v>
                </c:pt>
              </c:strCache>
            </c:strRef>
          </c:cat>
          <c:val>
            <c:numRef>
              <c:f>'Painel Acidentes'!$CF$5:$CF$7</c:f>
              <c:numCache>
                <c:formatCode>General</c:formatCode>
                <c:ptCount val="2"/>
                <c:pt idx="0">
                  <c:v>4</c:v>
                </c:pt>
                <c:pt idx="1">
                  <c:v>1</c:v>
                </c:pt>
              </c:numCache>
            </c:numRef>
          </c:val>
          <c:extLst>
            <c:ext xmlns:c16="http://schemas.microsoft.com/office/drawing/2014/chart" uri="{C3380CC4-5D6E-409C-BE32-E72D297353CC}">
              <c16:uniqueId val="{00000000-A1F6-40F7-A28F-FF7C402F32A3}"/>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0E7"/>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[Monitoramento - Acidentes e Incidentes (CGB).xlsx]Painel Acidentes!Tabela dinâmica6</c:name>
    <c:fmtId val="6"/>
  </c:pivotSource>
  <c:chart>
    <c:autoTitleDeleted val="1"/>
    <c:pivotFmts>
      <c:pivotFmt>
        <c:idx val="0"/>
        <c:spPr>
          <a:solidFill>
            <a:srgbClr val="111E2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'Painel Acidentes'!$CJ$4</c:f>
              <c:strCache>
                <c:ptCount val="1"/>
                <c:pt idx="0">
                  <c:v>Total</c:v>
                </c:pt>
              </c:strCache>
            </c:strRef>
          </c:tx>
          <c:spPr>
            <a:solidFill>
              <a:srgbClr val="111E2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'Painel Acidentes'!$CI$5:$CI$10</c:f>
              <c:strCache>
                <c:ptCount val="5"/>
                <c:pt idx="0">
                  <c:v>MA-PDS-O001M</c:v>
                </c:pt>
                <c:pt idx="1">
                  <c:v>LOG001</c:v>
                </c:pt>
                <c:pt idx="2">
                  <c:v>MA-ITM-V001M</c:v>
                </c:pt>
                <c:pt idx="3">
                  <c:v>MA-STI-O003M</c:v>
                </c:pt>
                <c:pt idx="4">
                  <c:v>MA-STI-T001M</c:v>
                </c:pt>
              </c:strCache>
            </c:strRef>
          </c:cat>
          <c:val>
            <c:numRef>
              <c:f>'Painel Acidentes'!$CJ$5:$CJ$10</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8B0E-4043-A5DB-DF58B0F0AA99}"/>
            </c:ext>
          </c:extLst>
        </c:ser>
        <c:dLbls>
          <c:dLblPos val="outEnd"/>
          <c:showLegendKey val="0"/>
          <c:showVal val="1"/>
          <c:showCatName val="0"/>
          <c:showSerName val="0"/>
          <c:showPercent val="0"/>
          <c:showBubbleSize val="0"/>
        </c:dLbls>
        <c:gapWidth val="140"/>
        <c:overlap val="-27"/>
        <c:axId val="443209936"/>
        <c:axId val="443208760"/>
      </c:barChart>
      <c:catAx>
        <c:axId val="44320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crossAx val="443208760"/>
        <c:crosses val="autoZero"/>
        <c:auto val="1"/>
        <c:lblAlgn val="ctr"/>
        <c:lblOffset val="100"/>
        <c:noMultiLvlLbl val="0"/>
      </c:catAx>
      <c:valAx>
        <c:axId val="443208760"/>
        <c:scaling>
          <c:orientation val="minMax"/>
        </c:scaling>
        <c:delete val="1"/>
        <c:axPos val="l"/>
        <c:numFmt formatCode="General" sourceLinked="1"/>
        <c:majorTickMark val="none"/>
        <c:minorTickMark val="none"/>
        <c:tickLblPos val="nextTo"/>
        <c:crossAx val="4432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0E7"/>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[Monitoramento - Acidentes e Incidentes (CGB).xlsx]Painel Incidentes!Tabela dinâmica2</c:name>
    <c:fmtId val="19"/>
  </c:pivotSource>
  <c:chart>
    <c:autoTitleDeleted val="1"/>
    <c:pivotFmts>
      <c:pivotFmt>
        <c:idx val="0"/>
        <c:spPr>
          <a:solidFill>
            <a:schemeClr val="accent1">
              <a:lumMod val="50000"/>
            </a:schemeClr>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600"/>
          </a:solidFill>
          <a:ln w="12700">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pivotFmt>
      <c:pivotFmt>
        <c:idx val="6"/>
        <c:spPr>
          <a:solidFill>
            <a:srgbClr val="00CC66"/>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6699"/>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FFF"/>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pivotFmt>
      <c:pivotFmt>
        <c:idx val="14"/>
        <c:spPr>
          <a:solidFill>
            <a:schemeClr val="accent1">
              <a:lumMod val="50000"/>
            </a:schemeClr>
          </a:solidFill>
          <a:ln>
            <a:noFill/>
          </a:ln>
          <a:effectLst/>
        </c:spPr>
      </c:pivotFmt>
      <c:pivotFmt>
        <c:idx val="15"/>
        <c:spPr>
          <a:solidFill>
            <a:schemeClr val="accent3"/>
          </a:solidFill>
          <a:ln>
            <a:noFill/>
          </a:ln>
          <a:effectLst/>
        </c:spPr>
      </c:pivotFmt>
      <c:pivotFmt>
        <c:idx val="16"/>
        <c:spPr>
          <a:solidFill>
            <a:schemeClr val="accent4">
              <a:lumMod val="60000"/>
              <a:lumOff val="40000"/>
            </a:schemeClr>
          </a:solidFill>
          <a:ln>
            <a:noFill/>
          </a:ln>
          <a:effectLst/>
        </c:spPr>
      </c:pivotFmt>
      <c:pivotFmt>
        <c:idx val="17"/>
        <c:spPr>
          <a:solidFill>
            <a:schemeClr val="accent2">
              <a:lumMod val="60000"/>
              <a:lumOff val="40000"/>
            </a:schemeClr>
          </a:solidFill>
          <a:ln>
            <a:noFill/>
          </a:ln>
          <a:effectLst/>
        </c:spPr>
      </c:pivotFmt>
      <c:pivotFmt>
        <c:idx val="18"/>
        <c:spPr>
          <a:solidFill>
            <a:schemeClr val="accent2"/>
          </a:solidFill>
          <a:ln>
            <a:noFill/>
          </a:ln>
          <a:effectLst/>
        </c:spPr>
      </c:pivotFmt>
      <c:pivotFmt>
        <c:idx val="19"/>
        <c:spPr>
          <a:solidFill>
            <a:schemeClr val="accent2">
              <a:lumMod val="50000"/>
            </a:schemeClr>
          </a:solidFill>
          <a:ln>
            <a:noFill/>
          </a:ln>
          <a:effectLst/>
        </c:spPr>
      </c:pivotFmt>
      <c:pivotFmt>
        <c:idx val="20"/>
        <c:spPr>
          <a:solidFill>
            <a:schemeClr val="accent6"/>
          </a:solidFill>
          <a:ln>
            <a:noFill/>
          </a:ln>
          <a:effectLst/>
        </c:spPr>
      </c:pivotFmt>
      <c:pivotFmt>
        <c:idx val="21"/>
        <c:spPr>
          <a:solidFill>
            <a:srgbClr val="990033"/>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50000"/>
            </a:schemeClr>
          </a:solidFill>
          <a:ln>
            <a:noFill/>
          </a:ln>
          <a:effectLst/>
        </c:spPr>
      </c:pivotFmt>
      <c:pivotFmt>
        <c:idx val="23"/>
        <c:spPr>
          <a:solidFill>
            <a:schemeClr val="accent1">
              <a:lumMod val="50000"/>
            </a:schemeClr>
          </a:solidFill>
          <a:ln>
            <a:noFill/>
          </a:ln>
          <a:effectLst/>
        </c:spPr>
      </c:pivotFmt>
      <c:pivotFmt>
        <c:idx val="24"/>
        <c:spPr>
          <a:solidFill>
            <a:schemeClr val="accent3"/>
          </a:solidFill>
          <a:ln>
            <a:noFill/>
          </a:ln>
          <a:effectLst/>
        </c:spPr>
      </c:pivotFmt>
      <c:pivotFmt>
        <c:idx val="25"/>
        <c:spPr>
          <a:solidFill>
            <a:schemeClr val="accent4">
              <a:lumMod val="60000"/>
              <a:lumOff val="40000"/>
            </a:schemeClr>
          </a:solidFill>
          <a:ln>
            <a:noFill/>
          </a:ln>
          <a:effectLst/>
        </c:spPr>
      </c:pivotFmt>
      <c:pivotFmt>
        <c:idx val="26"/>
        <c:spPr>
          <a:solidFill>
            <a:schemeClr val="accent2">
              <a:lumMod val="60000"/>
              <a:lumOff val="40000"/>
            </a:schemeClr>
          </a:solidFill>
          <a:ln>
            <a:noFill/>
          </a:ln>
          <a:effectLst/>
        </c:spPr>
      </c:pivotFmt>
      <c:pivotFmt>
        <c:idx val="27"/>
        <c:spPr>
          <a:solidFill>
            <a:schemeClr val="accent2"/>
          </a:solidFill>
          <a:ln>
            <a:noFill/>
          </a:ln>
          <a:effectLst/>
        </c:spPr>
      </c:pivotFmt>
      <c:pivotFmt>
        <c:idx val="28"/>
        <c:spPr>
          <a:solidFill>
            <a:schemeClr val="accent2">
              <a:lumMod val="50000"/>
            </a:schemeClr>
          </a:solidFill>
          <a:ln>
            <a:noFill/>
          </a:ln>
          <a:effectLst/>
        </c:spPr>
      </c:pivotFmt>
      <c:pivotFmt>
        <c:idx val="29"/>
        <c:spPr>
          <a:solidFill>
            <a:schemeClr val="accent6"/>
          </a:solidFill>
          <a:ln>
            <a:noFill/>
          </a:ln>
          <a:effectLst/>
        </c:spPr>
      </c:pivotFmt>
    </c:pivotFmts>
    <c:plotArea>
      <c:layout>
        <c:manualLayout>
          <c:layoutTarget val="inner"/>
          <c:xMode val="edge"/>
          <c:yMode val="edge"/>
          <c:x val="1.084583541658256E-2"/>
          <c:y val="0.24566725281273538"/>
          <c:w val="0.97830832916683486"/>
          <c:h val="0.5197524959937404"/>
        </c:manualLayout>
      </c:layout>
      <c:barChart>
        <c:barDir val="col"/>
        <c:grouping val="clustered"/>
        <c:varyColors val="0"/>
        <c:ser>
          <c:idx val="0"/>
          <c:order val="0"/>
          <c:tx>
            <c:strRef>
              <c:f>'Painel Incidentes'!$AT$4</c:f>
              <c:strCache>
                <c:ptCount val="1"/>
                <c:pt idx="0">
                  <c:v>Total</c:v>
                </c:pt>
              </c:strCache>
            </c:strRef>
          </c:tx>
          <c:spPr>
            <a:solidFill>
              <a:srgbClr val="990033"/>
            </a:solidFill>
            <a:ln>
              <a:noFill/>
            </a:ln>
            <a:effectLst/>
          </c:spPr>
          <c:invertIfNegative val="0"/>
          <c:dPt>
            <c:idx val="0"/>
            <c:invertIfNegative val="0"/>
            <c:bubble3D val="0"/>
            <c:extLst>
              <c:ext xmlns:c16="http://schemas.microsoft.com/office/drawing/2014/chart" uri="{C3380CC4-5D6E-409C-BE32-E72D297353CC}">
                <c16:uniqueId val="{00000000-4BD3-4F6D-93F7-66573A7AA481}"/>
              </c:ext>
            </c:extLst>
          </c:dPt>
          <c:dPt>
            <c:idx val="1"/>
            <c:invertIfNegative val="0"/>
            <c:bubble3D val="0"/>
            <c:extLst>
              <c:ext xmlns:c16="http://schemas.microsoft.com/office/drawing/2014/chart" uri="{C3380CC4-5D6E-409C-BE32-E72D297353CC}">
                <c16:uniqueId val="{00000001-4BD3-4F6D-93F7-66573A7AA481}"/>
              </c:ext>
            </c:extLst>
          </c:dPt>
          <c:dPt>
            <c:idx val="3"/>
            <c:invertIfNegative val="0"/>
            <c:bubble3D val="0"/>
            <c:extLst>
              <c:ext xmlns:c16="http://schemas.microsoft.com/office/drawing/2014/chart" uri="{C3380CC4-5D6E-409C-BE32-E72D297353CC}">
                <c16:uniqueId val="{00000002-4BD3-4F6D-93F7-66573A7AA481}"/>
              </c:ext>
            </c:extLst>
          </c:dPt>
          <c:dPt>
            <c:idx val="4"/>
            <c:invertIfNegative val="0"/>
            <c:bubble3D val="0"/>
            <c:extLst>
              <c:ext xmlns:c16="http://schemas.microsoft.com/office/drawing/2014/chart" uri="{C3380CC4-5D6E-409C-BE32-E72D297353CC}">
                <c16:uniqueId val="{00000003-4BD3-4F6D-93F7-66573A7AA481}"/>
              </c:ext>
            </c:extLst>
          </c:dPt>
          <c:dPt>
            <c:idx val="5"/>
            <c:invertIfNegative val="0"/>
            <c:bubble3D val="0"/>
            <c:extLst>
              <c:ext xmlns:c16="http://schemas.microsoft.com/office/drawing/2014/chart" uri="{C3380CC4-5D6E-409C-BE32-E72D297353CC}">
                <c16:uniqueId val="{00000004-4BD3-4F6D-93F7-66573A7AA481}"/>
              </c:ext>
            </c:extLst>
          </c:dPt>
          <c:dPt>
            <c:idx val="6"/>
            <c:invertIfNegative val="0"/>
            <c:bubble3D val="0"/>
            <c:extLst>
              <c:ext xmlns:c16="http://schemas.microsoft.com/office/drawing/2014/chart" uri="{C3380CC4-5D6E-409C-BE32-E72D297353CC}">
                <c16:uniqueId val="{00000005-4BD3-4F6D-93F7-66573A7AA481}"/>
              </c:ext>
            </c:extLst>
          </c:dPt>
          <c:dPt>
            <c:idx val="7"/>
            <c:invertIfNegative val="0"/>
            <c:bubble3D val="0"/>
            <c:extLst>
              <c:ext xmlns:c16="http://schemas.microsoft.com/office/drawing/2014/chart" uri="{C3380CC4-5D6E-409C-BE32-E72D297353CC}">
                <c16:uniqueId val="{00000006-4BD3-4F6D-93F7-66573A7AA481}"/>
              </c:ext>
            </c:extLst>
          </c:dPt>
          <c:dPt>
            <c:idx val="8"/>
            <c:invertIfNegative val="0"/>
            <c:bubble3D val="0"/>
            <c:extLst>
              <c:ext xmlns:c16="http://schemas.microsoft.com/office/drawing/2014/chart" uri="{C3380CC4-5D6E-409C-BE32-E72D297353CC}">
                <c16:uniqueId val="{00000007-4BD3-4F6D-93F7-66573A7AA481}"/>
              </c:ext>
            </c:extLst>
          </c:dPt>
          <c:dLbls>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'Painel Incidentes'!$AS$5:$AS$13</c:f>
              <c:strCache>
                <c:ptCount val="8"/>
                <c:pt idx="0">
                  <c:v>Fev</c:v>
                </c:pt>
                <c:pt idx="1">
                  <c:v>Mar</c:v>
                </c:pt>
                <c:pt idx="2">
                  <c:v>Abr</c:v>
                </c:pt>
                <c:pt idx="3">
                  <c:v>Mai</c:v>
                </c:pt>
                <c:pt idx="4">
                  <c:v>Jun</c:v>
                </c:pt>
                <c:pt idx="5">
                  <c:v>Jan</c:v>
                </c:pt>
                <c:pt idx="7">
                  <c:v>(vazio)</c:v>
                </c:pt>
              </c:strCache>
            </c:strRef>
          </c:cat>
          <c:val>
            <c:numRef>
              <c:f>'Painel Incidentes'!$AT$5:$AT$13</c:f>
              <c:numCache>
                <c:formatCode>General</c:formatCode>
                <c:ptCount val="8"/>
                <c:pt idx="0">
                  <c:v>6</c:v>
                </c:pt>
                <c:pt idx="1">
                  <c:v>8</c:v>
                </c:pt>
                <c:pt idx="2">
                  <c:v>6</c:v>
                </c:pt>
                <c:pt idx="3">
                  <c:v>1</c:v>
                </c:pt>
                <c:pt idx="4">
                  <c:v>1</c:v>
                </c:pt>
                <c:pt idx="5">
                  <c:v>5</c:v>
                </c:pt>
              </c:numCache>
            </c:numRef>
          </c:val>
          <c:extLst>
            <c:ext xmlns:c16="http://schemas.microsoft.com/office/drawing/2014/chart" uri="{C3380CC4-5D6E-409C-BE32-E72D297353CC}">
              <c16:uniqueId val="{00000000-93BF-4221-9F63-7324D02D1579}"/>
            </c:ext>
          </c:extLst>
        </c:ser>
        <c:dLbls>
          <c:dLblPos val="ctr"/>
          <c:showLegendKey val="0"/>
          <c:showVal val="1"/>
          <c:showCatName val="0"/>
          <c:showSerName val="0"/>
          <c:showPercent val="0"/>
          <c:showBubbleSize val="0"/>
        </c:dLbls>
        <c:gapWidth val="219"/>
        <c:axId val="443204056"/>
        <c:axId val="443205232"/>
      </c:barChart>
      <c:catAx>
        <c:axId val="443204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BR"/>
          </a:p>
        </c:txPr>
        <c:crossAx val="443205232"/>
        <c:crosses val="autoZero"/>
        <c:auto val="1"/>
        <c:lblAlgn val="ctr"/>
        <c:lblOffset val="100"/>
        <c:noMultiLvlLbl val="0"/>
      </c:catAx>
      <c:valAx>
        <c:axId val="443205232"/>
        <c:scaling>
          <c:orientation val="minMax"/>
        </c:scaling>
        <c:delete val="1"/>
        <c:axPos val="l"/>
        <c:numFmt formatCode="General" sourceLinked="1"/>
        <c:majorTickMark val="none"/>
        <c:minorTickMark val="none"/>
        <c:tickLblPos val="nextTo"/>
        <c:crossAx val="443204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0E7"/>
    </a:solidFill>
    <a:ln w="9525" cap="flat" cmpd="sng" algn="ctr">
      <a:noFill/>
      <a:round/>
    </a:ln>
    <a:effectLst/>
  </c:spPr>
  <c:txPr>
    <a:bodyPr/>
    <a:lstStyle/>
    <a:p>
      <a:pPr>
        <a:defRPr sz="1200" b="1">
          <a:solidFill>
            <a:schemeClr val="tx1"/>
          </a:solidFill>
        </a:defRPr>
      </a:pPr>
      <a:endParaRPr lang="pt-BR"/>
    </a:p>
  </c:txPr>
  <c:printSettings>
    <c:headerFooter/>
    <c:pageMargins b="0.78740157499999996" l="0.511811024" r="0.511811024" t="0.78740157499999996" header="0.31496062000000002" footer="0.31496062000000002"/>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[Monitoramento - Acidentes e Incidentes (CGB).xlsx]Painel Incidentes!Tabela dinâmica3</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w="19050">
            <a:solidFill>
              <a:schemeClr val="lt1"/>
            </a:solidFill>
          </a:ln>
          <a:effectLst/>
        </c:spPr>
      </c:pivotFmt>
      <c:pivotFmt>
        <c:idx val="2"/>
        <c:spPr>
          <a:solidFill>
            <a:srgbClr val="FF5050"/>
          </a:solidFill>
          <a:ln w="19050">
            <a:solidFill>
              <a:schemeClr val="lt1"/>
            </a:solidFill>
          </a:ln>
          <a:effectLst/>
        </c:spPr>
      </c:pivotFmt>
      <c:pivotFmt>
        <c:idx val="3"/>
        <c:spPr>
          <a:solidFill>
            <a:schemeClr val="accent1">
              <a:lumMod val="50000"/>
            </a:schemeClr>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5">
              <a:lumMod val="7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60000"/>
              <a:lumOff val="40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doughnutChart>
        <c:varyColors val="1"/>
        <c:ser>
          <c:idx val="0"/>
          <c:order val="0"/>
          <c:tx>
            <c:strRef>
              <c:f>'Painel Incidentes'!$BY$4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1CF-41E3-ABA5-2ED2A68434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CF-41E3-ABA5-2ED2A68434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D1CF-41E3-ABA5-2ED2A68434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4E-4607-9DDC-0A90AFF328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C1-44DB-8A2B-9F1DF36BD1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AC1-44DB-8A2B-9F1DF36BD1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AC1-44DB-8A2B-9F1DF36BD10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AC1-44DB-8A2B-9F1DF36BD10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AC1-44DB-8A2B-9F1DF36BD10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333-4626-9B53-F5DC9D1F101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333-4626-9B53-F5DC9D1F101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'Painel Incidentes'!$BX$5:$BX$16</c:f>
              <c:strCache>
                <c:ptCount val="11"/>
                <c:pt idx="0">
                  <c:v>DANO A VEÍCULO</c:v>
                </c:pt>
                <c:pt idx="1">
                  <c:v>DANO A VEICULO</c:v>
                </c:pt>
                <c:pt idx="2">
                  <c:v>DANO AO VEICULO</c:v>
                </c:pt>
                <c:pt idx="3">
                  <c:v>DANOS AO EQUIPAMENTO</c:v>
                </c:pt>
                <c:pt idx="4">
                  <c:v>TIPICO</c:v>
                </c:pt>
                <c:pt idx="5">
                  <c:v>DANO A PATRIMÔNIO</c:v>
                </c:pt>
                <c:pt idx="6">
                  <c:v>TRAJETO</c:v>
                </c:pt>
                <c:pt idx="7">
                  <c:v>OPERAÇÃO INCORRETA EQP</c:v>
                </c:pt>
                <c:pt idx="8">
                  <c:v>BATIDA CONTRA</c:v>
                </c:pt>
                <c:pt idx="9">
                  <c:v>ATINGIDO POR OBJETO</c:v>
                </c:pt>
                <c:pt idx="10">
                  <c:v>(vazio)</c:v>
                </c:pt>
              </c:strCache>
            </c:strRef>
          </c:cat>
          <c:val>
            <c:numRef>
              <c:f>'Painel Incidentes'!$BY$5:$BY$16</c:f>
              <c:numCache>
                <c:formatCode>General</c:formatCode>
                <c:ptCount val="11"/>
                <c:pt idx="0">
                  <c:v>12</c:v>
                </c:pt>
                <c:pt idx="1">
                  <c:v>5</c:v>
                </c:pt>
                <c:pt idx="2">
                  <c:v>3</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D1CF-41E3-ABA5-2ED2A6843403}"/>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59823129262782693"/>
          <c:y val="4.009342912046792E-2"/>
          <c:w val="0.33452940019361344"/>
          <c:h val="0.8572063263382679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0E7"/>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pivotSource>
    <c:name>[Monitoramento - Acidentes e Incidentes (CGB).xlsx]Painel Incidentes!Tabela dinâmica4</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00"/>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5">
              <a:lumMod val="75000"/>
            </a:schemeClr>
          </a:solidFill>
          <a:ln w="19050">
            <a:solidFill>
              <a:schemeClr val="lt1"/>
            </a:solidFill>
          </a:ln>
          <a:effectLst/>
        </c:spPr>
      </c:pivotFmt>
      <c:pivotFmt>
        <c:idx val="4"/>
        <c:spPr>
          <a:solidFill>
            <a:srgbClr val="7030A0"/>
          </a:solidFill>
          <a:ln w="19050">
            <a:solidFill>
              <a:schemeClr val="lt1"/>
            </a:solidFill>
          </a:ln>
          <a:effectLst/>
        </c:spPr>
      </c:pivotFmt>
      <c:pivotFmt>
        <c:idx val="5"/>
        <c:spPr>
          <a:solidFill>
            <a:srgbClr val="008A45"/>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92D050"/>
          </a:solidFill>
          <a:ln w="19050">
            <a:solidFill>
              <a:schemeClr val="lt1"/>
            </a:solidFill>
          </a:ln>
          <a:effectLst/>
        </c:spPr>
      </c:pivotFmt>
      <c:pivotFmt>
        <c:idx val="8"/>
        <c:spPr>
          <a:solidFill>
            <a:srgbClr val="9F5FCF"/>
          </a:solidFill>
          <a:ln w="19050">
            <a:solidFill>
              <a:schemeClr val="lt1"/>
            </a:solidFill>
          </a:ln>
          <a:effectLst/>
        </c:spPr>
      </c:pivotFmt>
      <c:pivotFmt>
        <c:idx val="9"/>
        <c:spPr>
          <a:solidFill>
            <a:srgbClr val="FF964F"/>
          </a:solidFill>
          <a:ln w="19050">
            <a:solidFill>
              <a:schemeClr val="lt1"/>
            </a:solidFill>
          </a:ln>
          <a:effectLst/>
        </c:spPr>
      </c:pivotFmt>
      <c:pivotFmt>
        <c:idx val="10"/>
        <c:spPr>
          <a:solidFill>
            <a:srgbClr val="7CA89F"/>
          </a:solidFill>
          <a:ln w="19050">
            <a:solidFill>
              <a:schemeClr val="lt1"/>
            </a:solidFill>
          </a:ln>
          <a:effectLst/>
        </c:spPr>
      </c:pivotFmt>
      <c:pivotFmt>
        <c:idx val="11"/>
        <c:spPr>
          <a:solidFill>
            <a:schemeClr val="bg2">
              <a:lumMod val="75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w="19050">
            <a:solidFill>
              <a:schemeClr val="lt1"/>
            </a:solidFill>
          </a:ln>
          <a:effectLst/>
        </c:spPr>
      </c:pivotFmt>
      <c:pivotFmt>
        <c:idx val="14"/>
        <c:spPr>
          <a:solidFill>
            <a:srgbClr val="9F5FCF"/>
          </a:solidFill>
          <a:ln w="19050">
            <a:solidFill>
              <a:schemeClr val="lt1"/>
            </a:solidFill>
          </a:ln>
          <a:effectLst/>
        </c:spPr>
      </c:pivotFmt>
      <c:pivotFmt>
        <c:idx val="15"/>
        <c:spPr>
          <a:solidFill>
            <a:srgbClr val="FF964F"/>
          </a:solidFill>
          <a:ln w="19050">
            <a:solidFill>
              <a:schemeClr val="lt1"/>
            </a:solidFill>
          </a:ln>
          <a:effectLst/>
        </c:spPr>
      </c:pivotFmt>
      <c:pivotFmt>
        <c:idx val="16"/>
        <c:spPr>
          <a:solidFill>
            <a:srgbClr val="7CA89F"/>
          </a:solidFill>
          <a:ln w="19050">
            <a:solidFill>
              <a:schemeClr val="lt1"/>
            </a:solidFill>
          </a:ln>
          <a:effectLst/>
        </c:spPr>
      </c:pivotFmt>
      <c:pivotFmt>
        <c:idx val="17"/>
        <c:spPr>
          <a:solidFill>
            <a:schemeClr val="bg2">
              <a:lumMod val="75000"/>
            </a:schemeClr>
          </a:solidFill>
          <a:ln w="19050">
            <a:solidFill>
              <a:schemeClr val="lt1"/>
            </a:solidFill>
          </a:ln>
          <a:effectLst/>
        </c:spPr>
      </c:pivotFmt>
      <c:pivotFmt>
        <c:idx val="18"/>
        <c:spPr>
          <a:solidFill>
            <a:schemeClr val="accent1">
              <a:tint val="30000"/>
            </a:schemeClr>
          </a:solidFill>
          <a:ln w="19050">
            <a:solidFill>
              <a:schemeClr val="lt1"/>
            </a:solidFill>
          </a:ln>
          <a:effectLst/>
        </c:spPr>
      </c:pivotFmt>
    </c:pivotFmts>
    <c:plotArea>
      <c:layout/>
      <c:doughnutChart>
        <c:varyColors val="1"/>
        <c:ser>
          <c:idx val="0"/>
          <c:order val="0"/>
          <c:tx>
            <c:strRef>
              <c:f>'Painel Incidentes'!$CC$4</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2-7630-43B1-B098-3714DB2EBA04}"/>
              </c:ext>
            </c:extLst>
          </c:dPt>
          <c:dPt>
            <c:idx val="1"/>
            <c:bubble3D val="0"/>
            <c:spPr>
              <a:solidFill>
                <a:srgbClr val="9F5FCF"/>
              </a:solidFill>
              <a:ln w="19050">
                <a:solidFill>
                  <a:schemeClr val="lt1"/>
                </a:solidFill>
              </a:ln>
              <a:effectLst/>
            </c:spPr>
            <c:extLst>
              <c:ext xmlns:c16="http://schemas.microsoft.com/office/drawing/2014/chart" uri="{C3380CC4-5D6E-409C-BE32-E72D297353CC}">
                <c16:uniqueId val="{00000003-7630-43B1-B098-3714DB2EBA04}"/>
              </c:ext>
            </c:extLst>
          </c:dPt>
          <c:dPt>
            <c:idx val="2"/>
            <c:bubble3D val="0"/>
            <c:spPr>
              <a:solidFill>
                <a:srgbClr val="FF964F"/>
              </a:solidFill>
              <a:ln w="19050">
                <a:solidFill>
                  <a:schemeClr val="lt1"/>
                </a:solidFill>
              </a:ln>
              <a:effectLst/>
            </c:spPr>
            <c:extLst>
              <c:ext xmlns:c16="http://schemas.microsoft.com/office/drawing/2014/chart" uri="{C3380CC4-5D6E-409C-BE32-E72D297353CC}">
                <c16:uniqueId val="{00000004-7630-43B1-B098-3714DB2EBA04}"/>
              </c:ext>
            </c:extLst>
          </c:dPt>
          <c:dPt>
            <c:idx val="3"/>
            <c:bubble3D val="0"/>
            <c:spPr>
              <a:solidFill>
                <a:srgbClr val="7CA89F"/>
              </a:solidFill>
              <a:ln w="19050">
                <a:solidFill>
                  <a:schemeClr val="lt1"/>
                </a:solidFill>
              </a:ln>
              <a:effectLst/>
            </c:spPr>
            <c:extLst>
              <c:ext xmlns:c16="http://schemas.microsoft.com/office/drawing/2014/chart" uri="{C3380CC4-5D6E-409C-BE32-E72D297353CC}">
                <c16:uniqueId val="{00000005-7630-43B1-B098-3714DB2EBA04}"/>
              </c:ext>
            </c:extLst>
          </c:dPt>
          <c:dPt>
            <c:idx val="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6-7630-43B1-B098-3714DB2EBA04}"/>
              </c:ext>
            </c:extLst>
          </c:dPt>
          <c:dPt>
            <c:idx val="5"/>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B-3AAE-416C-8E19-814EF991CDB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'Painel Incidentes'!$CB$5:$CB$11</c:f>
              <c:strCache>
                <c:ptCount val="6"/>
                <c:pt idx="0">
                  <c:v>BCB</c:v>
                </c:pt>
                <c:pt idx="1">
                  <c:v>ITM</c:v>
                </c:pt>
                <c:pt idx="2">
                  <c:v>PDS</c:v>
                </c:pt>
                <c:pt idx="3">
                  <c:v>PDT</c:v>
                </c:pt>
                <c:pt idx="4">
                  <c:v>STI</c:v>
                </c:pt>
                <c:pt idx="5">
                  <c:v>(vazio)</c:v>
                </c:pt>
              </c:strCache>
            </c:strRef>
          </c:cat>
          <c:val>
            <c:numRef>
              <c:f>'Painel Incidentes'!$CC$5:$CC$11</c:f>
              <c:numCache>
                <c:formatCode>General</c:formatCode>
                <c:ptCount val="6"/>
                <c:pt idx="0">
                  <c:v>3</c:v>
                </c:pt>
                <c:pt idx="1">
                  <c:v>3</c:v>
                </c:pt>
                <c:pt idx="2">
                  <c:v>4</c:v>
                </c:pt>
                <c:pt idx="3">
                  <c:v>14</c:v>
                </c:pt>
                <c:pt idx="4">
                  <c:v>3</c:v>
                </c:pt>
              </c:numCache>
            </c:numRef>
          </c:val>
          <c:extLst>
            <c:ext xmlns:c16="http://schemas.microsoft.com/office/drawing/2014/chart" uri="{C3380CC4-5D6E-409C-BE32-E72D297353CC}">
              <c16:uniqueId val="{00000000-7630-43B1-B098-3714DB2EBA04}"/>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7742912850179442"/>
          <c:y val="0.12646432407587202"/>
          <c:w val="0.1821713000160694"/>
          <c:h val="0.6807371025186620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0E7"/>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pivotSource>
    <c:name>[Monitoramento - Acidentes e Incidentes (CGB).xlsx]Painel Incidentes!Tabela dinâmica5</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Bahnschrift" panose="020B0502040204020203" pitchFamily="34" charset="0"/>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42000"/>
            </a:schemeClr>
          </a:solidFill>
          <a:ln w="19050">
            <a:solidFill>
              <a:schemeClr val="lt1"/>
            </a:solidFill>
          </a:ln>
          <a:effectLst/>
        </c:spPr>
      </c:pivotFmt>
      <c:pivotFmt>
        <c:idx val="2"/>
        <c:spPr>
          <a:solidFill>
            <a:schemeClr val="accent1">
              <a:shade val="55000"/>
            </a:schemeClr>
          </a:solidFill>
          <a:ln w="19050">
            <a:solidFill>
              <a:schemeClr val="lt1"/>
            </a:solidFill>
          </a:ln>
          <a:effectLst/>
        </c:spPr>
      </c:pivotFmt>
      <c:pivotFmt>
        <c:idx val="3"/>
        <c:spPr>
          <a:solidFill>
            <a:schemeClr val="accent1">
              <a:shade val="68000"/>
            </a:schemeClr>
          </a:solidFill>
          <a:ln w="19050">
            <a:solidFill>
              <a:schemeClr val="lt1"/>
            </a:solidFill>
          </a:ln>
          <a:effectLst/>
        </c:spPr>
      </c:pivotFmt>
      <c:pivotFmt>
        <c:idx val="4"/>
        <c:spPr>
          <a:solidFill>
            <a:schemeClr val="accent1">
              <a:shade val="80000"/>
            </a:schemeClr>
          </a:solidFill>
          <a:ln w="19050">
            <a:solidFill>
              <a:schemeClr val="lt1"/>
            </a:solidFill>
          </a:ln>
          <a:effectLst/>
        </c:spPr>
      </c:pivotFmt>
      <c:pivotFmt>
        <c:idx val="5"/>
        <c:spPr>
          <a:solidFill>
            <a:schemeClr val="accent1">
              <a:shade val="93000"/>
            </a:schemeClr>
          </a:solidFill>
          <a:ln w="19050">
            <a:solidFill>
              <a:schemeClr val="lt1"/>
            </a:solidFill>
          </a:ln>
          <a:effectLst/>
        </c:spPr>
      </c:pivotFmt>
      <c:pivotFmt>
        <c:idx val="6"/>
        <c:spPr>
          <a:solidFill>
            <a:schemeClr val="accent1">
              <a:tint val="94000"/>
            </a:schemeClr>
          </a:solidFill>
          <a:ln w="19050">
            <a:solidFill>
              <a:schemeClr val="lt1"/>
            </a:solidFill>
          </a:ln>
          <a:effectLst/>
        </c:spPr>
      </c:pivotFmt>
      <c:pivotFmt>
        <c:idx val="7"/>
        <c:spPr>
          <a:solidFill>
            <a:schemeClr val="accent1">
              <a:tint val="81000"/>
            </a:schemeClr>
          </a:solidFill>
          <a:ln w="19050">
            <a:solidFill>
              <a:schemeClr val="lt1"/>
            </a:solidFill>
          </a:ln>
          <a:effectLst/>
        </c:spPr>
      </c:pivotFmt>
      <c:pivotFmt>
        <c:idx val="8"/>
        <c:spPr>
          <a:solidFill>
            <a:schemeClr val="accent1">
              <a:tint val="69000"/>
            </a:schemeClr>
          </a:solidFill>
          <a:ln w="19050">
            <a:solidFill>
              <a:schemeClr val="lt1"/>
            </a:solidFill>
          </a:ln>
          <a:effectLst/>
        </c:spPr>
      </c:pivotFmt>
      <c:pivotFmt>
        <c:idx val="9"/>
        <c:spPr>
          <a:solidFill>
            <a:schemeClr val="accent1">
              <a:tint val="56000"/>
            </a:schemeClr>
          </a:solidFill>
          <a:ln w="19050">
            <a:solidFill>
              <a:schemeClr val="lt1"/>
            </a:solidFill>
          </a:ln>
          <a:effectLst/>
        </c:spPr>
      </c:pivotFmt>
      <c:pivotFmt>
        <c:idx val="10"/>
        <c:spPr>
          <a:solidFill>
            <a:schemeClr val="accent1">
              <a:tint val="43000"/>
            </a:schemeClr>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tint val="65000"/>
            </a:schemeClr>
          </a:solidFill>
          <a:ln w="19050">
            <a:solidFill>
              <a:schemeClr val="lt1"/>
            </a:solidFill>
          </a:ln>
          <a:effectLst/>
        </c:spPr>
      </c:pivotFmt>
      <c:pivotFmt>
        <c:idx val="14"/>
        <c:spPr>
          <a:solidFill>
            <a:schemeClr val="accent1">
              <a:lumMod val="50000"/>
            </a:schemeClr>
          </a:solidFill>
          <a:ln w="19050">
            <a:solidFill>
              <a:schemeClr val="lt1"/>
            </a:solidFill>
          </a:ln>
          <a:effectLst/>
        </c:spPr>
      </c:pivotFmt>
      <c:pivotFmt>
        <c:idx val="15"/>
        <c:spPr>
          <a:solidFill>
            <a:srgbClr val="111E29"/>
          </a:solidFill>
          <a:ln w="19050">
            <a:solidFill>
              <a:schemeClr val="lt1"/>
            </a:solidFill>
          </a:ln>
          <a:effectLst/>
        </c:spPr>
      </c:pivotFmt>
      <c:pivotFmt>
        <c:idx val="16"/>
        <c:spPr>
          <a:solidFill>
            <a:schemeClr val="accent1">
              <a:tint val="65000"/>
            </a:schemeClr>
          </a:solidFill>
          <a:ln w="19050">
            <a:solidFill>
              <a:schemeClr val="lt1"/>
            </a:solidFill>
          </a:ln>
          <a:effectLst/>
        </c:spPr>
      </c:pivotFmt>
      <c:pivotFmt>
        <c:idx val="17"/>
        <c:spPr>
          <a:solidFill>
            <a:srgbClr val="00B0F0"/>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Bahnschrift" panose="020B0502040204020203" pitchFamily="34" charset="0"/>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50000"/>
            </a:schemeClr>
          </a:solidFill>
          <a:ln w="19050">
            <a:solidFill>
              <a:schemeClr val="lt1"/>
            </a:solidFill>
          </a:ln>
          <a:effectLst/>
        </c:spPr>
      </c:pivotFmt>
      <c:pivotFmt>
        <c:idx val="20"/>
        <c:spPr>
          <a:solidFill>
            <a:srgbClr val="111E29"/>
          </a:solidFill>
          <a:ln w="19050">
            <a:solidFill>
              <a:schemeClr val="lt1"/>
            </a:solidFill>
          </a:ln>
          <a:effectLst/>
        </c:spPr>
      </c:pivotFmt>
      <c:pivotFmt>
        <c:idx val="21"/>
        <c:spPr>
          <a:solidFill>
            <a:srgbClr val="00B0F0"/>
          </a:solidFill>
          <a:ln w="19050">
            <a:solidFill>
              <a:schemeClr val="lt1"/>
            </a:solidFill>
          </a:ln>
          <a:effectLst/>
        </c:spPr>
      </c:pivotFmt>
      <c:pivotFmt>
        <c:idx val="22"/>
        <c:spPr>
          <a:solidFill>
            <a:schemeClr val="accent1">
              <a:tint val="86000"/>
            </a:schemeClr>
          </a:solidFill>
          <a:ln w="19050">
            <a:solidFill>
              <a:schemeClr val="lt1"/>
            </a:solidFill>
          </a:ln>
          <a:effectLst/>
        </c:spPr>
      </c:pivotFmt>
      <c:pivotFmt>
        <c:idx val="23"/>
        <c:spPr>
          <a:solidFill>
            <a:schemeClr val="accent1">
              <a:tint val="30000"/>
            </a:schemeClr>
          </a:solidFill>
          <a:ln w="19050">
            <a:solidFill>
              <a:schemeClr val="lt1"/>
            </a:solidFill>
          </a:ln>
          <a:effectLst/>
        </c:spPr>
      </c:pivotFmt>
      <c:pivotFmt>
        <c:idx val="24"/>
        <c:spPr>
          <a:solidFill>
            <a:schemeClr val="accent1">
              <a:tint val="77000"/>
            </a:schemeClr>
          </a:solidFill>
          <a:ln w="19050">
            <a:solidFill>
              <a:schemeClr val="lt1"/>
            </a:solidFill>
          </a:ln>
          <a:effectLst/>
        </c:spPr>
      </c:pivotFmt>
      <c:pivotFmt>
        <c:idx val="25"/>
        <c:spPr>
          <a:solidFill>
            <a:schemeClr val="accent1">
              <a:tint val="70000"/>
            </a:schemeClr>
          </a:solidFill>
          <a:ln w="19050">
            <a:solidFill>
              <a:schemeClr val="lt1"/>
            </a:solidFill>
          </a:ln>
          <a:effectLst/>
        </c:spPr>
      </c:pivotFmt>
    </c:pivotFmts>
    <c:plotArea>
      <c:layout/>
      <c:doughnutChart>
        <c:varyColors val="1"/>
        <c:ser>
          <c:idx val="0"/>
          <c:order val="0"/>
          <c:tx>
            <c:strRef>
              <c:f>'Painel Incidentes'!$CG$4</c:f>
              <c:strCache>
                <c:ptCount val="1"/>
                <c:pt idx="0">
                  <c:v>Total</c:v>
                </c:pt>
              </c:strCache>
            </c:strRef>
          </c:tx>
          <c:dPt>
            <c:idx val="0"/>
            <c:bubble3D val="0"/>
            <c:spPr>
              <a:solidFill>
                <a:srgbClr val="111E29"/>
              </a:solidFill>
              <a:ln w="19050">
                <a:solidFill>
                  <a:schemeClr val="lt1"/>
                </a:solidFill>
              </a:ln>
              <a:effectLst/>
            </c:spPr>
            <c:extLst>
              <c:ext xmlns:c16="http://schemas.microsoft.com/office/drawing/2014/chart" uri="{C3380CC4-5D6E-409C-BE32-E72D297353CC}">
                <c16:uniqueId val="{00000001-F4E2-4432-895E-ABAE96B37F9E}"/>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F4E2-4432-895E-ABAE96B37F9E}"/>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F4E2-4432-895E-ABAE96B37F9E}"/>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F4E2-4432-895E-ABAE96B37F9E}"/>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F4E2-4432-895E-ABAE96B37F9E}"/>
              </c:ext>
            </c:extLst>
          </c:dPt>
          <c:dPt>
            <c:idx val="5"/>
            <c:bubble3D val="0"/>
            <c:spPr>
              <a:solidFill>
                <a:srgbClr val="00B0F0"/>
              </a:solidFill>
              <a:ln w="19050">
                <a:solidFill>
                  <a:schemeClr val="lt1"/>
                </a:solidFill>
              </a:ln>
              <a:effectLst/>
            </c:spPr>
            <c:extLst>
              <c:ext xmlns:c16="http://schemas.microsoft.com/office/drawing/2014/chart" uri="{C3380CC4-5D6E-409C-BE32-E72D297353CC}">
                <c16:uniqueId val="{0000000B-F4E2-4432-895E-ABAE96B37F9E}"/>
              </c:ext>
            </c:extLst>
          </c:dPt>
          <c:dPt>
            <c:idx val="6"/>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D-F4E2-4432-895E-ABAE96B37F9E}"/>
              </c:ext>
            </c:extLst>
          </c:dPt>
          <c:dPt>
            <c:idx val="7"/>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F-F4E2-4432-895E-ABAE96B37F9E}"/>
              </c:ext>
            </c:extLst>
          </c:dPt>
          <c:dPt>
            <c:idx val="8"/>
            <c:bubble3D val="0"/>
            <c:spPr>
              <a:solidFill>
                <a:schemeClr val="accent1">
                  <a:tint val="13000"/>
                </a:schemeClr>
              </a:solidFill>
              <a:ln w="19050">
                <a:solidFill>
                  <a:schemeClr val="lt1"/>
                </a:solidFill>
              </a:ln>
              <a:effectLst/>
            </c:spPr>
            <c:extLst>
              <c:ext xmlns:c16="http://schemas.microsoft.com/office/drawing/2014/chart" uri="{C3380CC4-5D6E-409C-BE32-E72D297353CC}">
                <c16:uniqueId val="{00000011-F4E2-4432-895E-ABAE96B37F9E}"/>
              </c:ext>
            </c:extLst>
          </c:dPt>
          <c:dPt>
            <c:idx val="9"/>
            <c:bubble3D val="0"/>
            <c:spPr>
              <a:solidFill>
                <a:schemeClr val="accent1">
                  <a:tint val="95000"/>
                </a:schemeClr>
              </a:solidFill>
              <a:ln w="19050">
                <a:solidFill>
                  <a:schemeClr val="lt1"/>
                </a:solidFill>
              </a:ln>
              <a:effectLst/>
            </c:spPr>
            <c:extLst>
              <c:ext xmlns:c16="http://schemas.microsoft.com/office/drawing/2014/chart" uri="{C3380CC4-5D6E-409C-BE32-E72D297353CC}">
                <c16:uniqueId val="{00000013-F4E2-4432-895E-ABAE96B37F9E}"/>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Bahnschrift" panose="020B0502040204020203" pitchFamily="34" charset="0"/>
                    <a:ea typeface="+mn-ea"/>
                    <a:cs typeface="+mn-cs"/>
                  </a:defRPr>
                </a:pPr>
                <a:endParaRPr lang="pt-B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'Painel Incidentes'!$CF$5:$CF$12</c:f>
              <c:strCache>
                <c:ptCount val="7"/>
                <c:pt idx="0">
                  <c:v>GSTC</c:v>
                </c:pt>
                <c:pt idx="1">
                  <c:v>GOMAN</c:v>
                </c:pt>
                <c:pt idx="2">
                  <c:v>GERE</c:v>
                </c:pt>
                <c:pt idx="3">
                  <c:v>GSRD</c:v>
                </c:pt>
                <c:pt idx="4">
                  <c:v>ALMOXARIFADO</c:v>
                </c:pt>
                <c:pt idx="5">
                  <c:v>ADM</c:v>
                </c:pt>
                <c:pt idx="6">
                  <c:v>(vazio)</c:v>
                </c:pt>
              </c:strCache>
            </c:strRef>
          </c:cat>
          <c:val>
            <c:numRef>
              <c:f>'Painel Incidentes'!$CG$5:$CG$12</c:f>
              <c:numCache>
                <c:formatCode>General</c:formatCode>
                <c:ptCount val="7"/>
                <c:pt idx="0">
                  <c:v>11</c:v>
                </c:pt>
                <c:pt idx="1">
                  <c:v>10</c:v>
                </c:pt>
                <c:pt idx="2">
                  <c:v>3</c:v>
                </c:pt>
                <c:pt idx="3">
                  <c:v>1</c:v>
                </c:pt>
                <c:pt idx="4">
                  <c:v>1</c:v>
                </c:pt>
                <c:pt idx="5">
                  <c:v>1</c:v>
                </c:pt>
              </c:numCache>
            </c:numRef>
          </c:val>
          <c:extLst>
            <c:ext xmlns:c16="http://schemas.microsoft.com/office/drawing/2014/chart" uri="{C3380CC4-5D6E-409C-BE32-E72D297353CC}">
              <c16:uniqueId val="{00000000-A1F6-40F7-A28F-FF7C402F32A3}"/>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0E7"/>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[Monitoramento - Acidentes e Incidentes (CGB).xlsx]Painel Incidentes!Tabela dinâmica6</c:name>
    <c:fmtId val="14"/>
  </c:pivotSource>
  <c:chart>
    <c:autoTitleDeleted val="1"/>
    <c:pivotFmts>
      <c:pivotFmt>
        <c:idx val="0"/>
        <c:spPr>
          <a:solidFill>
            <a:srgbClr val="111E2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11E2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'Painel Incidentes'!$CK$4</c:f>
              <c:strCache>
                <c:ptCount val="1"/>
                <c:pt idx="0">
                  <c:v>Total</c:v>
                </c:pt>
              </c:strCache>
            </c:strRef>
          </c:tx>
          <c:spPr>
            <a:solidFill>
              <a:srgbClr val="111E2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'Painel Incidentes'!$CJ$5:$CJ$31</c:f>
              <c:strCache>
                <c:ptCount val="26"/>
                <c:pt idx="0">
                  <c:v>PDT554</c:v>
                </c:pt>
                <c:pt idx="1">
                  <c:v>PDT016</c:v>
                </c:pt>
                <c:pt idx="2">
                  <c:v>PDT302</c:v>
                </c:pt>
                <c:pt idx="3">
                  <c:v>STI014</c:v>
                </c:pt>
                <c:pt idx="4">
                  <c:v>TTM001</c:v>
                </c:pt>
                <c:pt idx="5">
                  <c:v>ITM001</c:v>
                </c:pt>
                <c:pt idx="6">
                  <c:v>SUPERVISOR</c:v>
                </c:pt>
                <c:pt idx="7">
                  <c:v>FFC001</c:v>
                </c:pt>
                <c:pt idx="8">
                  <c:v>PDT304</c:v>
                </c:pt>
                <c:pt idx="9">
                  <c:v>STI303</c:v>
                </c:pt>
                <c:pt idx="10">
                  <c:v>ADMBVB</c:v>
                </c:pt>
                <c:pt idx="11">
                  <c:v>PDT810</c:v>
                </c:pt>
                <c:pt idx="12">
                  <c:v>PDT002</c:v>
                </c:pt>
                <c:pt idx="13">
                  <c:v>PDT350</c:v>
                </c:pt>
                <c:pt idx="14">
                  <c:v>ESP001</c:v>
                </c:pt>
                <c:pt idx="15">
                  <c:v>MRA010</c:v>
                </c:pt>
                <c:pt idx="16">
                  <c:v>PDS303</c:v>
                </c:pt>
                <c:pt idx="17">
                  <c:v>PDT802</c:v>
                </c:pt>
                <c:pt idx="18">
                  <c:v>CTD002</c:v>
                </c:pt>
                <c:pt idx="19">
                  <c:v>BCB804 PDS807</c:v>
                </c:pt>
                <c:pt idx="20">
                  <c:v>JACKSON</c:v>
                </c:pt>
                <c:pt idx="21">
                  <c:v>PDT550</c:v>
                </c:pt>
                <c:pt idx="22">
                  <c:v>DPO006</c:v>
                </c:pt>
                <c:pt idx="23">
                  <c:v>STI552</c:v>
                </c:pt>
                <c:pt idx="24">
                  <c:v>PRL001</c:v>
                </c:pt>
                <c:pt idx="25">
                  <c:v>(vazio)</c:v>
                </c:pt>
              </c:strCache>
            </c:strRef>
          </c:cat>
          <c:val>
            <c:numRef>
              <c:f>'Painel Incidentes'!$CK$5:$CK$31</c:f>
              <c:numCache>
                <c:formatCode>General</c:formatCode>
                <c:ptCount val="26"/>
                <c:pt idx="0">
                  <c:v>2</c:v>
                </c:pt>
                <c:pt idx="1">
                  <c:v>2</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numCache>
            </c:numRef>
          </c:val>
          <c:extLst>
            <c:ext xmlns:c16="http://schemas.microsoft.com/office/drawing/2014/chart" uri="{C3380CC4-5D6E-409C-BE32-E72D297353CC}">
              <c16:uniqueId val="{00000000-8B0E-4043-A5DB-DF58B0F0AA99}"/>
            </c:ext>
          </c:extLst>
        </c:ser>
        <c:dLbls>
          <c:dLblPos val="outEnd"/>
          <c:showLegendKey val="0"/>
          <c:showVal val="1"/>
          <c:showCatName val="0"/>
          <c:showSerName val="0"/>
          <c:showPercent val="0"/>
          <c:showBubbleSize val="0"/>
        </c:dLbls>
        <c:gapWidth val="140"/>
        <c:overlap val="-27"/>
        <c:axId val="350248472"/>
        <c:axId val="350251216"/>
      </c:barChart>
      <c:catAx>
        <c:axId val="35024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Bahnschrift" panose="020B0502040204020203" pitchFamily="34" charset="0"/>
                <a:ea typeface="+mn-ea"/>
                <a:cs typeface="+mn-cs"/>
              </a:defRPr>
            </a:pPr>
            <a:endParaRPr lang="pt-BR"/>
          </a:p>
        </c:txPr>
        <c:crossAx val="350251216"/>
        <c:crosses val="autoZero"/>
        <c:auto val="1"/>
        <c:lblAlgn val="ctr"/>
        <c:lblOffset val="100"/>
        <c:noMultiLvlLbl val="0"/>
      </c:catAx>
      <c:valAx>
        <c:axId val="350251216"/>
        <c:scaling>
          <c:orientation val="minMax"/>
        </c:scaling>
        <c:delete val="1"/>
        <c:axPos val="l"/>
        <c:numFmt formatCode="General" sourceLinked="1"/>
        <c:majorTickMark val="none"/>
        <c:minorTickMark val="none"/>
        <c:tickLblPos val="nextTo"/>
        <c:crossAx val="350248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0E7"/>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07/relationships/hdphoto" Target="../media/hdphoto2.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7" Type="http://schemas.microsoft.com/office/2007/relationships/hdphoto" Target="../media/hdphoto3.wdp"/><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5.png"/><Relationship Id="rId5" Type="http://schemas.openxmlformats.org/officeDocument/2006/relationships/chart" Target="../charts/chart10.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microsoft.com/office/2007/relationships/hdphoto" Target="../media/hdphoto1.wdp"/><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19</xdr:col>
      <xdr:colOff>185944</xdr:colOff>
      <xdr:row>2</xdr:row>
      <xdr:rowOff>115957</xdr:rowOff>
    </xdr:from>
    <xdr:to>
      <xdr:col>21</xdr:col>
      <xdr:colOff>289891</xdr:colOff>
      <xdr:row>6</xdr:row>
      <xdr:rowOff>82012</xdr:rowOff>
    </xdr:to>
    <xdr:sp macro="" textlink="">
      <xdr:nvSpPr>
        <xdr:cNvPr id="19" name="CaixaDeTexto 18">
          <a:extLst>
            <a:ext uri="{FF2B5EF4-FFF2-40B4-BE49-F238E27FC236}">
              <a16:creationId xmlns:a16="http://schemas.microsoft.com/office/drawing/2014/main" id="{00000000-0008-0000-0100-000013000000}"/>
            </a:ext>
          </a:extLst>
        </xdr:cNvPr>
        <xdr:cNvSpPr txBox="1"/>
      </xdr:nvSpPr>
      <xdr:spPr>
        <a:xfrm>
          <a:off x="12054922" y="347870"/>
          <a:ext cx="2033795" cy="728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b="1">
              <a:solidFill>
                <a:sysClr val="windowText" lastClr="000000"/>
              </a:solidFill>
              <a:latin typeface="Bahnschrift" panose="020B0502040204020203" pitchFamily="34" charset="0"/>
            </a:rPr>
            <a:t>COMUNICAÇÃO</a:t>
          </a:r>
          <a:r>
            <a:rPr lang="pt-BR" sz="1400" b="1" baseline="0">
              <a:solidFill>
                <a:sysClr val="windowText" lastClr="000000"/>
              </a:solidFill>
              <a:latin typeface="Bahnschrift" panose="020B0502040204020203" pitchFamily="34" charset="0"/>
            </a:rPr>
            <a:t> IMEDIATA</a:t>
          </a:r>
          <a:endParaRPr lang="pt-BR" sz="1400" b="1">
            <a:solidFill>
              <a:sysClr val="windowText" lastClr="000000"/>
            </a:solidFill>
            <a:latin typeface="Bahnschrift" panose="020B0502040204020203" pitchFamily="34" charset="0"/>
          </a:endParaRPr>
        </a:p>
      </xdr:txBody>
    </xdr:sp>
    <xdr:clientData/>
  </xdr:twoCellAnchor>
  <xdr:twoCellAnchor>
    <xdr:from>
      <xdr:col>23</xdr:col>
      <xdr:colOff>285336</xdr:colOff>
      <xdr:row>2</xdr:row>
      <xdr:rowOff>115957</xdr:rowOff>
    </xdr:from>
    <xdr:to>
      <xdr:col>25</xdr:col>
      <xdr:colOff>273326</xdr:colOff>
      <xdr:row>6</xdr:row>
      <xdr:rowOff>16565</xdr:rowOff>
    </xdr:to>
    <xdr:sp macro="" textlink="">
      <xdr:nvSpPr>
        <xdr:cNvPr id="23" name="CaixaDeTexto 22">
          <a:extLst>
            <a:ext uri="{FF2B5EF4-FFF2-40B4-BE49-F238E27FC236}">
              <a16:creationId xmlns:a16="http://schemas.microsoft.com/office/drawing/2014/main" id="{00000000-0008-0000-0100-000017000000}"/>
            </a:ext>
          </a:extLst>
        </xdr:cNvPr>
        <xdr:cNvSpPr txBox="1"/>
      </xdr:nvSpPr>
      <xdr:spPr>
        <a:xfrm>
          <a:off x="15343119" y="347870"/>
          <a:ext cx="1950968" cy="662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b="1">
              <a:solidFill>
                <a:sysClr val="windowText" lastClr="000000"/>
              </a:solidFill>
              <a:latin typeface="Bahnschrift" panose="020B0502040204020203" pitchFamily="34" charset="0"/>
              <a:ea typeface="+mn-ea"/>
              <a:cs typeface="+mn-cs"/>
            </a:rPr>
            <a:t>COMUNICAÇÃO À DISTRIBUIDORA</a:t>
          </a:r>
        </a:p>
      </xdr:txBody>
    </xdr:sp>
    <xdr:clientData/>
  </xdr:twoCellAnchor>
  <xdr:twoCellAnchor>
    <xdr:from>
      <xdr:col>27</xdr:col>
      <xdr:colOff>4143</xdr:colOff>
      <xdr:row>2</xdr:row>
      <xdr:rowOff>91107</xdr:rowOff>
    </xdr:from>
    <xdr:to>
      <xdr:col>30</xdr:col>
      <xdr:colOff>74544</xdr:colOff>
      <xdr:row>6</xdr:row>
      <xdr:rowOff>49694</xdr:rowOff>
    </xdr:to>
    <xdr:sp macro="" textlink="">
      <xdr:nvSpPr>
        <xdr:cNvPr id="26" name="CaixaDeTexto 25">
          <a:extLst>
            <a:ext uri="{FF2B5EF4-FFF2-40B4-BE49-F238E27FC236}">
              <a16:creationId xmlns:a16="http://schemas.microsoft.com/office/drawing/2014/main" id="{00000000-0008-0000-0100-00001A000000}"/>
            </a:ext>
          </a:extLst>
        </xdr:cNvPr>
        <xdr:cNvSpPr txBox="1"/>
      </xdr:nvSpPr>
      <xdr:spPr>
        <a:xfrm>
          <a:off x="19567665" y="323020"/>
          <a:ext cx="2977596" cy="720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b="1">
              <a:solidFill>
                <a:sysClr val="windowText" lastClr="000000"/>
              </a:solidFill>
              <a:latin typeface="Bahnschrift" panose="020B0502040204020203" pitchFamily="34" charset="0"/>
              <a:ea typeface="+mn-ea"/>
              <a:cs typeface="+mn-cs"/>
            </a:rPr>
            <a:t>CONVOCAÇÃO DE </a:t>
          </a:r>
        </a:p>
        <a:p>
          <a:pPr marL="0" indent="0" algn="ctr"/>
          <a:r>
            <a:rPr lang="pt-BR" sz="1400" b="1">
              <a:solidFill>
                <a:sysClr val="windowText" lastClr="000000"/>
              </a:solidFill>
              <a:latin typeface="Bahnschrift" panose="020B0502040204020203" pitchFamily="34" charset="0"/>
              <a:ea typeface="+mn-ea"/>
              <a:cs typeface="+mn-cs"/>
            </a:rPr>
            <a:t>COMITÊ DE INVESTIGAÇÃO</a:t>
          </a:r>
        </a:p>
      </xdr:txBody>
    </xdr:sp>
    <xdr:clientData/>
  </xdr:twoCellAnchor>
  <xdr:twoCellAnchor>
    <xdr:from>
      <xdr:col>30</xdr:col>
      <xdr:colOff>675035</xdr:colOff>
      <xdr:row>2</xdr:row>
      <xdr:rowOff>99391</xdr:rowOff>
    </xdr:from>
    <xdr:to>
      <xdr:col>34</xdr:col>
      <xdr:colOff>66261</xdr:colOff>
      <xdr:row>6</xdr:row>
      <xdr:rowOff>99391</xdr:rowOff>
    </xdr:to>
    <xdr:sp macro="" textlink="">
      <xdr:nvSpPr>
        <xdr:cNvPr id="29" name="CaixaDeTexto 28">
          <a:extLst>
            <a:ext uri="{FF2B5EF4-FFF2-40B4-BE49-F238E27FC236}">
              <a16:creationId xmlns:a16="http://schemas.microsoft.com/office/drawing/2014/main" id="{00000000-0008-0000-0100-00001D000000}"/>
            </a:ext>
          </a:extLst>
        </xdr:cNvPr>
        <xdr:cNvSpPr txBox="1"/>
      </xdr:nvSpPr>
      <xdr:spPr>
        <a:xfrm>
          <a:off x="23145752" y="331304"/>
          <a:ext cx="316809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b="1">
              <a:solidFill>
                <a:sysClr val="windowText" lastClr="000000"/>
              </a:solidFill>
              <a:latin typeface="Bahnschrift" panose="020B0502040204020203" pitchFamily="34" charset="0"/>
              <a:ea typeface="+mn-ea"/>
              <a:cs typeface="+mn-cs"/>
            </a:rPr>
            <a:t>GERAR E EMITIR INVESTIGAÇÃO</a:t>
          </a:r>
        </a:p>
        <a:p>
          <a:pPr marL="0" indent="0" algn="ctr"/>
          <a:r>
            <a:rPr lang="pt-BR" sz="1400" b="1">
              <a:solidFill>
                <a:sysClr val="windowText" lastClr="000000"/>
              </a:solidFill>
              <a:latin typeface="Bahnschrift" panose="020B0502040204020203" pitchFamily="34" charset="0"/>
              <a:ea typeface="+mn-ea"/>
              <a:cs typeface="+mn-cs"/>
            </a:rPr>
            <a:t> DE ACIDENTE</a:t>
          </a:r>
        </a:p>
      </xdr:txBody>
    </xdr:sp>
    <xdr:clientData/>
  </xdr:twoCellAnchor>
  <xdr:twoCellAnchor>
    <xdr:from>
      <xdr:col>34</xdr:col>
      <xdr:colOff>641904</xdr:colOff>
      <xdr:row>2</xdr:row>
      <xdr:rowOff>74544</xdr:rowOff>
    </xdr:from>
    <xdr:to>
      <xdr:col>38</xdr:col>
      <xdr:colOff>25318</xdr:colOff>
      <xdr:row>6</xdr:row>
      <xdr:rowOff>132522</xdr:rowOff>
    </xdr:to>
    <xdr:sp macro="" textlink="">
      <xdr:nvSpPr>
        <xdr:cNvPr id="32" name="CaixaDeTexto 31">
          <a:extLst>
            <a:ext uri="{FF2B5EF4-FFF2-40B4-BE49-F238E27FC236}">
              <a16:creationId xmlns:a16="http://schemas.microsoft.com/office/drawing/2014/main" id="{00000000-0008-0000-0100-000020000000}"/>
            </a:ext>
          </a:extLst>
        </xdr:cNvPr>
        <xdr:cNvSpPr txBox="1"/>
      </xdr:nvSpPr>
      <xdr:spPr>
        <a:xfrm>
          <a:off x="26889491" y="306457"/>
          <a:ext cx="3160284" cy="819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b="1">
              <a:solidFill>
                <a:sysClr val="windowText" lastClr="000000"/>
              </a:solidFill>
              <a:latin typeface="Bahnschrift" panose="020B0502040204020203" pitchFamily="34" charset="0"/>
              <a:ea typeface="+mn-ea"/>
              <a:cs typeface="+mn-cs"/>
            </a:rPr>
            <a:t>VALIDAÇÃO DE RELATÓRIO DE INVESTIGAÇÃO</a:t>
          </a:r>
        </a:p>
      </xdr:txBody>
    </xdr:sp>
    <xdr:clientData/>
  </xdr:twoCellAnchor>
  <xdr:twoCellAnchor>
    <xdr:from>
      <xdr:col>38</xdr:col>
      <xdr:colOff>509382</xdr:colOff>
      <xdr:row>2</xdr:row>
      <xdr:rowOff>140804</xdr:rowOff>
    </xdr:from>
    <xdr:to>
      <xdr:col>42</xdr:col>
      <xdr:colOff>99392</xdr:colOff>
      <xdr:row>6</xdr:row>
      <xdr:rowOff>98577</xdr:rowOff>
    </xdr:to>
    <xdr:sp macro="" textlink="">
      <xdr:nvSpPr>
        <xdr:cNvPr id="35" name="CaixaDeTexto 34">
          <a:extLst>
            <a:ext uri="{FF2B5EF4-FFF2-40B4-BE49-F238E27FC236}">
              <a16:creationId xmlns:a16="http://schemas.microsoft.com/office/drawing/2014/main" id="{00000000-0008-0000-0100-000023000000}"/>
            </a:ext>
          </a:extLst>
        </xdr:cNvPr>
        <xdr:cNvSpPr txBox="1"/>
      </xdr:nvSpPr>
      <xdr:spPr>
        <a:xfrm>
          <a:off x="30533839" y="372717"/>
          <a:ext cx="3366879" cy="719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b="1">
              <a:solidFill>
                <a:sysClr val="windowText" lastClr="000000"/>
              </a:solidFill>
              <a:latin typeface="Bahnschrift" panose="020B0502040204020203" pitchFamily="34" charset="0"/>
              <a:ea typeface="+mn-ea"/>
              <a:cs typeface="+mn-cs"/>
            </a:rPr>
            <a:t>ENVIO DE RELATÓRIO À </a:t>
          </a:r>
        </a:p>
        <a:p>
          <a:pPr marL="0" indent="0" algn="ctr"/>
          <a:r>
            <a:rPr lang="pt-BR" sz="1400" b="1">
              <a:solidFill>
                <a:sysClr val="windowText" lastClr="000000"/>
              </a:solidFill>
              <a:latin typeface="Bahnschrift" panose="020B0502040204020203" pitchFamily="34" charset="0"/>
              <a:ea typeface="+mn-ea"/>
              <a:cs typeface="+mn-cs"/>
            </a:rPr>
            <a:t>DISTRIBUIDORA</a:t>
          </a:r>
        </a:p>
      </xdr:txBody>
    </xdr:sp>
    <xdr:clientData/>
  </xdr:twoCellAnchor>
  <xdr:twoCellAnchor>
    <xdr:from>
      <xdr:col>42</xdr:col>
      <xdr:colOff>592207</xdr:colOff>
      <xdr:row>3</xdr:row>
      <xdr:rowOff>24848</xdr:rowOff>
    </xdr:from>
    <xdr:to>
      <xdr:col>44</xdr:col>
      <xdr:colOff>0</xdr:colOff>
      <xdr:row>6</xdr:row>
      <xdr:rowOff>32316</xdr:rowOff>
    </xdr:to>
    <xdr:sp macro="" textlink="">
      <xdr:nvSpPr>
        <xdr:cNvPr id="38" name="CaixaDeTexto 37">
          <a:extLst>
            <a:ext uri="{FF2B5EF4-FFF2-40B4-BE49-F238E27FC236}">
              <a16:creationId xmlns:a16="http://schemas.microsoft.com/office/drawing/2014/main" id="{00000000-0008-0000-0100-000026000000}"/>
            </a:ext>
          </a:extLst>
        </xdr:cNvPr>
        <xdr:cNvSpPr txBox="1"/>
      </xdr:nvSpPr>
      <xdr:spPr>
        <a:xfrm>
          <a:off x="34393533" y="447261"/>
          <a:ext cx="3275771" cy="578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b="1">
              <a:solidFill>
                <a:sysClr val="windowText" lastClr="000000"/>
              </a:solidFill>
              <a:latin typeface="Bahnschrift" panose="020B0502040204020203" pitchFamily="34" charset="0"/>
              <a:ea typeface="+mn-ea"/>
              <a:cs typeface="+mn-cs"/>
            </a:rPr>
            <a:t>IMPLEMENTAR AÇÕES </a:t>
          </a:r>
        </a:p>
        <a:p>
          <a:pPr marL="0" indent="0" algn="ctr"/>
          <a:r>
            <a:rPr lang="pt-BR" sz="1400" b="1">
              <a:solidFill>
                <a:sysClr val="windowText" lastClr="000000"/>
              </a:solidFill>
              <a:latin typeface="Bahnschrift" panose="020B0502040204020203" pitchFamily="34" charset="0"/>
              <a:ea typeface="+mn-ea"/>
              <a:cs typeface="+mn-cs"/>
            </a:rPr>
            <a:t>DEFINIDAS NO PLANO DE AÇÃO</a:t>
          </a:r>
        </a:p>
      </xdr:txBody>
    </xdr:sp>
    <xdr:clientData/>
  </xdr:twoCellAnchor>
  <xdr:twoCellAnchor>
    <xdr:from>
      <xdr:col>44</xdr:col>
      <xdr:colOff>459441</xdr:colOff>
      <xdr:row>2</xdr:row>
      <xdr:rowOff>11207</xdr:rowOff>
    </xdr:from>
    <xdr:to>
      <xdr:col>44</xdr:col>
      <xdr:colOff>3736917</xdr:colOff>
      <xdr:row>6</xdr:row>
      <xdr:rowOff>152011</xdr:rowOff>
    </xdr:to>
    <xdr:sp macro="" textlink="">
      <xdr:nvSpPr>
        <xdr:cNvPr id="41" name="CaixaDeTexto 40">
          <a:extLst>
            <a:ext uri="{FF2B5EF4-FFF2-40B4-BE49-F238E27FC236}">
              <a16:creationId xmlns:a16="http://schemas.microsoft.com/office/drawing/2014/main" id="{00000000-0008-0000-0100-000029000000}"/>
            </a:ext>
          </a:extLst>
        </xdr:cNvPr>
        <xdr:cNvSpPr txBox="1"/>
      </xdr:nvSpPr>
      <xdr:spPr>
        <a:xfrm>
          <a:off x="44061529" y="235325"/>
          <a:ext cx="3277476" cy="90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b="1">
              <a:solidFill>
                <a:sysClr val="windowText" lastClr="000000"/>
              </a:solidFill>
              <a:latin typeface="Bahnschrift" panose="020B0502040204020203" pitchFamily="34" charset="0"/>
              <a:ea typeface="+mn-ea"/>
              <a:cs typeface="+mn-cs"/>
            </a:rPr>
            <a:t>ENVIO DE EVIDÊNCIA DO CUMPRIMENTO </a:t>
          </a:r>
        </a:p>
        <a:p>
          <a:pPr marL="0" indent="0" algn="ctr"/>
          <a:r>
            <a:rPr lang="pt-BR" sz="1400" b="1">
              <a:solidFill>
                <a:sysClr val="windowText" lastClr="000000"/>
              </a:solidFill>
              <a:latin typeface="Bahnschrift" panose="020B0502040204020203" pitchFamily="34" charset="0"/>
              <a:ea typeface="+mn-ea"/>
              <a:cs typeface="+mn-cs"/>
            </a:rPr>
            <a:t>DO PLANO À DISTRIBUIDORA</a:t>
          </a:r>
        </a:p>
      </xdr:txBody>
    </xdr:sp>
    <xdr:clientData/>
  </xdr:twoCellAnchor>
  <xdr:twoCellAnchor editAs="oneCell">
    <xdr:from>
      <xdr:col>18</xdr:col>
      <xdr:colOff>150862</xdr:colOff>
      <xdr:row>1</xdr:row>
      <xdr:rowOff>107674</xdr:rowOff>
    </xdr:from>
    <xdr:to>
      <xdr:col>18</xdr:col>
      <xdr:colOff>879340</xdr:colOff>
      <xdr:row>7</xdr:row>
      <xdr:rowOff>336</xdr:rowOff>
    </xdr:to>
    <xdr:pic>
      <xdr:nvPicPr>
        <xdr:cNvPr id="54" name="Imagem 53">
          <a:extLst>
            <a:ext uri="{FF2B5EF4-FFF2-40B4-BE49-F238E27FC236}">
              <a16:creationId xmlns:a16="http://schemas.microsoft.com/office/drawing/2014/main" id="{00000000-0008-0000-0100-000036000000}"/>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6633" b="82551" l="25918" r="73367">
                      <a14:foregroundMark x1="51327" y1="34388" x2="51327" y2="34388"/>
                      <a14:foregroundMark x1="52347" y1="49898" x2="52347" y2="49898"/>
                      <a14:foregroundMark x1="51633" y1="66633" x2="51633" y2="66633"/>
                    </a14:backgroundRemoval>
                  </a14:imgEffect>
                </a14:imgLayer>
              </a14:imgProps>
            </a:ext>
          </a:extLst>
        </a:blip>
        <a:srcRect l="26965" t="16654" r="26786" b="16996"/>
        <a:stretch/>
      </xdr:blipFill>
      <xdr:spPr>
        <a:xfrm>
          <a:off x="11183297" y="149087"/>
          <a:ext cx="727094" cy="1016837"/>
        </a:xfrm>
        <a:prstGeom prst="rect">
          <a:avLst/>
        </a:prstGeom>
      </xdr:spPr>
    </xdr:pic>
    <xdr:clientData/>
  </xdr:twoCellAnchor>
  <xdr:twoCellAnchor editAs="oneCell">
    <xdr:from>
      <xdr:col>22</xdr:col>
      <xdr:colOff>237003</xdr:colOff>
      <xdr:row>1</xdr:row>
      <xdr:rowOff>107674</xdr:rowOff>
    </xdr:from>
    <xdr:to>
      <xdr:col>23</xdr:col>
      <xdr:colOff>72408</xdr:colOff>
      <xdr:row>7</xdr:row>
      <xdr:rowOff>336</xdr:rowOff>
    </xdr:to>
    <xdr:pic>
      <xdr:nvPicPr>
        <xdr:cNvPr id="55" name="Imagem 54">
          <a:extLst>
            <a:ext uri="{FF2B5EF4-FFF2-40B4-BE49-F238E27FC236}">
              <a16:creationId xmlns:a16="http://schemas.microsoft.com/office/drawing/2014/main" id="{00000000-0008-0000-0100-000037000000}"/>
            </a:ext>
          </a:extLst>
        </xdr:cNvPr>
        <xdr:cNvPicPr>
          <a:picLocks noChangeAspect="1"/>
        </xdr:cNvPicPr>
      </xdr:nvPicPr>
      <xdr:blipFill rotWithShape="1">
        <a:blip xmlns:r="http://schemas.openxmlformats.org/officeDocument/2006/relationships" r:embed="rId1"/>
        <a:srcRect l="26965" t="16654" r="26786" b="16996"/>
        <a:stretch/>
      </xdr:blipFill>
      <xdr:spPr>
        <a:xfrm>
          <a:off x="14930351" y="149087"/>
          <a:ext cx="727094" cy="1016837"/>
        </a:xfrm>
        <a:prstGeom prst="rect">
          <a:avLst/>
        </a:prstGeom>
      </xdr:spPr>
    </xdr:pic>
    <xdr:clientData/>
  </xdr:twoCellAnchor>
  <xdr:twoCellAnchor editAs="oneCell">
    <xdr:from>
      <xdr:col>26</xdr:col>
      <xdr:colOff>157369</xdr:colOff>
      <xdr:row>1</xdr:row>
      <xdr:rowOff>107674</xdr:rowOff>
    </xdr:from>
    <xdr:to>
      <xdr:col>26</xdr:col>
      <xdr:colOff>879931</xdr:colOff>
      <xdr:row>7</xdr:row>
      <xdr:rowOff>336</xdr:rowOff>
    </xdr:to>
    <xdr:pic>
      <xdr:nvPicPr>
        <xdr:cNvPr id="56" name="Imagem 55">
          <a:extLst>
            <a:ext uri="{FF2B5EF4-FFF2-40B4-BE49-F238E27FC236}">
              <a16:creationId xmlns:a16="http://schemas.microsoft.com/office/drawing/2014/main" id="{00000000-0008-0000-0100-000038000000}"/>
            </a:ext>
          </a:extLst>
        </xdr:cNvPr>
        <xdr:cNvPicPr>
          <a:picLocks noChangeAspect="1"/>
        </xdr:cNvPicPr>
      </xdr:nvPicPr>
      <xdr:blipFill rotWithShape="1">
        <a:blip xmlns:r="http://schemas.openxmlformats.org/officeDocument/2006/relationships" r:embed="rId1"/>
        <a:srcRect l="26965" t="16654" r="26786" b="16996"/>
        <a:stretch/>
      </xdr:blipFill>
      <xdr:spPr>
        <a:xfrm>
          <a:off x="18851217" y="149087"/>
          <a:ext cx="727094" cy="1016837"/>
        </a:xfrm>
        <a:prstGeom prst="rect">
          <a:avLst/>
        </a:prstGeom>
      </xdr:spPr>
    </xdr:pic>
    <xdr:clientData/>
  </xdr:twoCellAnchor>
  <xdr:twoCellAnchor editAs="oneCell">
    <xdr:from>
      <xdr:col>30</xdr:col>
      <xdr:colOff>57978</xdr:colOff>
      <xdr:row>1</xdr:row>
      <xdr:rowOff>107674</xdr:rowOff>
    </xdr:from>
    <xdr:to>
      <xdr:col>30</xdr:col>
      <xdr:colOff>796502</xdr:colOff>
      <xdr:row>7</xdr:row>
      <xdr:rowOff>336</xdr:rowOff>
    </xdr:to>
    <xdr:pic>
      <xdr:nvPicPr>
        <xdr:cNvPr id="57" name="Imagem 56">
          <a:extLst>
            <a:ext uri="{FF2B5EF4-FFF2-40B4-BE49-F238E27FC236}">
              <a16:creationId xmlns:a16="http://schemas.microsoft.com/office/drawing/2014/main" id="{00000000-0008-0000-0100-000039000000}"/>
            </a:ext>
          </a:extLst>
        </xdr:cNvPr>
        <xdr:cNvPicPr>
          <a:picLocks noChangeAspect="1"/>
        </xdr:cNvPicPr>
      </xdr:nvPicPr>
      <xdr:blipFill rotWithShape="1">
        <a:blip xmlns:r="http://schemas.openxmlformats.org/officeDocument/2006/relationships" r:embed="rId1"/>
        <a:srcRect l="26965" t="16654" r="26786" b="16996"/>
        <a:stretch/>
      </xdr:blipFill>
      <xdr:spPr>
        <a:xfrm>
          <a:off x="22528695" y="149087"/>
          <a:ext cx="727094" cy="1016837"/>
        </a:xfrm>
        <a:prstGeom prst="rect">
          <a:avLst/>
        </a:prstGeom>
      </xdr:spPr>
    </xdr:pic>
    <xdr:clientData/>
  </xdr:twoCellAnchor>
  <xdr:twoCellAnchor editAs="oneCell">
    <xdr:from>
      <xdr:col>34</xdr:col>
      <xdr:colOff>8282</xdr:colOff>
      <xdr:row>1</xdr:row>
      <xdr:rowOff>107674</xdr:rowOff>
    </xdr:from>
    <xdr:to>
      <xdr:col>34</xdr:col>
      <xdr:colOff>727756</xdr:colOff>
      <xdr:row>7</xdr:row>
      <xdr:rowOff>336</xdr:rowOff>
    </xdr:to>
    <xdr:pic>
      <xdr:nvPicPr>
        <xdr:cNvPr id="58" name="Imagem 57">
          <a:extLst>
            <a:ext uri="{FF2B5EF4-FFF2-40B4-BE49-F238E27FC236}">
              <a16:creationId xmlns:a16="http://schemas.microsoft.com/office/drawing/2014/main" id="{00000000-0008-0000-0100-00003A000000}"/>
            </a:ext>
          </a:extLst>
        </xdr:cNvPr>
        <xdr:cNvPicPr>
          <a:picLocks noChangeAspect="1"/>
        </xdr:cNvPicPr>
      </xdr:nvPicPr>
      <xdr:blipFill rotWithShape="1">
        <a:blip xmlns:r="http://schemas.openxmlformats.org/officeDocument/2006/relationships" r:embed="rId1"/>
        <a:srcRect l="26965" t="16654" r="26786" b="16996"/>
        <a:stretch/>
      </xdr:blipFill>
      <xdr:spPr>
        <a:xfrm>
          <a:off x="26255869" y="149087"/>
          <a:ext cx="727094" cy="1016837"/>
        </a:xfrm>
        <a:prstGeom prst="rect">
          <a:avLst/>
        </a:prstGeom>
      </xdr:spPr>
    </xdr:pic>
    <xdr:clientData/>
  </xdr:twoCellAnchor>
  <xdr:twoCellAnchor editAs="oneCell">
    <xdr:from>
      <xdr:col>38</xdr:col>
      <xdr:colOff>115957</xdr:colOff>
      <xdr:row>1</xdr:row>
      <xdr:rowOff>107674</xdr:rowOff>
    </xdr:from>
    <xdr:to>
      <xdr:col>38</xdr:col>
      <xdr:colOff>841146</xdr:colOff>
      <xdr:row>7</xdr:row>
      <xdr:rowOff>336</xdr:rowOff>
    </xdr:to>
    <xdr:pic>
      <xdr:nvPicPr>
        <xdr:cNvPr id="59" name="Imagem 58">
          <a:extLst>
            <a:ext uri="{FF2B5EF4-FFF2-40B4-BE49-F238E27FC236}">
              <a16:creationId xmlns:a16="http://schemas.microsoft.com/office/drawing/2014/main" id="{00000000-0008-0000-0100-00003B000000}"/>
            </a:ext>
          </a:extLst>
        </xdr:cNvPr>
        <xdr:cNvPicPr>
          <a:picLocks noChangeAspect="1"/>
        </xdr:cNvPicPr>
      </xdr:nvPicPr>
      <xdr:blipFill rotWithShape="1">
        <a:blip xmlns:r="http://schemas.openxmlformats.org/officeDocument/2006/relationships" r:embed="rId1"/>
        <a:srcRect l="26965" t="16654" r="26786" b="16996"/>
        <a:stretch/>
      </xdr:blipFill>
      <xdr:spPr>
        <a:xfrm>
          <a:off x="30140414" y="149087"/>
          <a:ext cx="727094" cy="1016837"/>
        </a:xfrm>
        <a:prstGeom prst="rect">
          <a:avLst/>
        </a:prstGeom>
      </xdr:spPr>
    </xdr:pic>
    <xdr:clientData/>
  </xdr:twoCellAnchor>
  <xdr:twoCellAnchor editAs="oneCell">
    <xdr:from>
      <xdr:col>42</xdr:col>
      <xdr:colOff>33131</xdr:colOff>
      <xdr:row>1</xdr:row>
      <xdr:rowOff>107674</xdr:rowOff>
    </xdr:from>
    <xdr:to>
      <xdr:col>42</xdr:col>
      <xdr:colOff>760225</xdr:colOff>
      <xdr:row>7</xdr:row>
      <xdr:rowOff>336</xdr:rowOff>
    </xdr:to>
    <xdr:pic>
      <xdr:nvPicPr>
        <xdr:cNvPr id="60" name="Imagem 59">
          <a:extLst>
            <a:ext uri="{FF2B5EF4-FFF2-40B4-BE49-F238E27FC236}">
              <a16:creationId xmlns:a16="http://schemas.microsoft.com/office/drawing/2014/main" id="{00000000-0008-0000-0100-00003C000000}"/>
            </a:ext>
          </a:extLst>
        </xdr:cNvPr>
        <xdr:cNvPicPr>
          <a:picLocks noChangeAspect="1"/>
        </xdr:cNvPicPr>
      </xdr:nvPicPr>
      <xdr:blipFill rotWithShape="1">
        <a:blip xmlns:r="http://schemas.openxmlformats.org/officeDocument/2006/relationships" r:embed="rId1"/>
        <a:srcRect l="26965" t="16654" r="26786" b="16996"/>
        <a:stretch/>
      </xdr:blipFill>
      <xdr:spPr>
        <a:xfrm>
          <a:off x="33834457" y="149087"/>
          <a:ext cx="727094" cy="1016837"/>
        </a:xfrm>
        <a:prstGeom prst="rect">
          <a:avLst/>
        </a:prstGeom>
      </xdr:spPr>
    </xdr:pic>
    <xdr:clientData/>
  </xdr:twoCellAnchor>
  <xdr:twoCellAnchor editAs="oneCell">
    <xdr:from>
      <xdr:col>44</xdr:col>
      <xdr:colOff>112059</xdr:colOff>
      <xdr:row>1</xdr:row>
      <xdr:rowOff>118880</xdr:rowOff>
    </xdr:from>
    <xdr:to>
      <xdr:col>44</xdr:col>
      <xdr:colOff>839153</xdr:colOff>
      <xdr:row>7</xdr:row>
      <xdr:rowOff>3108</xdr:rowOff>
    </xdr:to>
    <xdr:pic>
      <xdr:nvPicPr>
        <xdr:cNvPr id="61" name="Imagem 60">
          <a:extLst>
            <a:ext uri="{FF2B5EF4-FFF2-40B4-BE49-F238E27FC236}">
              <a16:creationId xmlns:a16="http://schemas.microsoft.com/office/drawing/2014/main" id="{00000000-0008-0000-0100-00003D000000}"/>
            </a:ext>
          </a:extLst>
        </xdr:cNvPr>
        <xdr:cNvPicPr>
          <a:picLocks noChangeAspect="1"/>
        </xdr:cNvPicPr>
      </xdr:nvPicPr>
      <xdr:blipFill rotWithShape="1">
        <a:blip xmlns:r="http://schemas.openxmlformats.org/officeDocument/2006/relationships" r:embed="rId1"/>
        <a:srcRect l="26965" t="16654" r="26786" b="16996"/>
        <a:stretch/>
      </xdr:blipFill>
      <xdr:spPr>
        <a:xfrm>
          <a:off x="43714147" y="152498"/>
          <a:ext cx="727094" cy="1016837"/>
        </a:xfrm>
        <a:prstGeom prst="rect">
          <a:avLst/>
        </a:prstGeom>
      </xdr:spPr>
    </xdr:pic>
    <xdr:clientData/>
  </xdr:twoCellAnchor>
  <xdr:twoCellAnchor editAs="oneCell">
    <xdr:from>
      <xdr:col>6</xdr:col>
      <xdr:colOff>612321</xdr:colOff>
      <xdr:row>2</xdr:row>
      <xdr:rowOff>135433</xdr:rowOff>
    </xdr:from>
    <xdr:to>
      <xdr:col>6</xdr:col>
      <xdr:colOff>2244794</xdr:colOff>
      <xdr:row>6</xdr:row>
      <xdr:rowOff>4393</xdr:rowOff>
    </xdr:to>
    <xdr:pic>
      <xdr:nvPicPr>
        <xdr:cNvPr id="20" name="Imagem 19" descr="Logotipo&#10;&#10;Descrição gerada automaticamente">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26821" y="366754"/>
          <a:ext cx="1624853" cy="6404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28576</xdr:colOff>
      <xdr:row>4</xdr:row>
      <xdr:rowOff>27214</xdr:rowOff>
    </xdr:from>
    <xdr:to>
      <xdr:col>18</xdr:col>
      <xdr:colOff>41563</xdr:colOff>
      <xdr:row>19</xdr:row>
      <xdr:rowOff>114299</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81642</xdr:rowOff>
    </xdr:from>
    <xdr:to>
      <xdr:col>8</xdr:col>
      <xdr:colOff>408215</xdr:colOff>
      <xdr:row>38</xdr:row>
      <xdr:rowOff>40821</xdr:rowOff>
    </xdr:to>
    <xdr:grpSp>
      <xdr:nvGrpSpPr>
        <xdr:cNvPr id="31" name="Agrupar 30">
          <a:extLst>
            <a:ext uri="{FF2B5EF4-FFF2-40B4-BE49-F238E27FC236}">
              <a16:creationId xmlns:a16="http://schemas.microsoft.com/office/drawing/2014/main" id="{00000000-0008-0000-0000-00001F000000}"/>
            </a:ext>
          </a:extLst>
        </xdr:cNvPr>
        <xdr:cNvGrpSpPr/>
      </xdr:nvGrpSpPr>
      <xdr:grpSpPr>
        <a:xfrm>
          <a:off x="0" y="3421742"/>
          <a:ext cx="4713515" cy="3337379"/>
          <a:chOff x="139" y="3465586"/>
          <a:chExt cx="4886900" cy="3400930"/>
        </a:xfrm>
      </xdr:grpSpPr>
      <xdr:graphicFrame macro="">
        <xdr:nvGraphicFramePr>
          <xdr:cNvPr id="6" name="Gráfico 5">
            <a:extLst>
              <a:ext uri="{FF2B5EF4-FFF2-40B4-BE49-F238E27FC236}">
                <a16:creationId xmlns:a16="http://schemas.microsoft.com/office/drawing/2014/main" id="{00000000-0008-0000-0000-000006000000}"/>
              </a:ext>
            </a:extLst>
          </xdr:cNvPr>
          <xdr:cNvGraphicFramePr/>
        </xdr:nvGraphicFramePr>
        <xdr:xfrm>
          <a:off x="139" y="3782056"/>
          <a:ext cx="4886900" cy="3084460"/>
        </xdr:xfrm>
        <a:graphic>
          <a:graphicData uri="http://schemas.openxmlformats.org/drawingml/2006/chart">
            <c:chart xmlns:c="http://schemas.openxmlformats.org/drawingml/2006/chart" xmlns:r="http://schemas.openxmlformats.org/officeDocument/2006/relationships" r:id="rId2"/>
          </a:graphicData>
        </a:graphic>
      </xdr:graphicFrame>
      <xdr:sp macro="" textlink="$CJ$2">
        <xdr:nvSpPr>
          <xdr:cNvPr id="7" name="CaixaDeTexto 6">
            <a:extLst>
              <a:ext uri="{FF2B5EF4-FFF2-40B4-BE49-F238E27FC236}">
                <a16:creationId xmlns:a16="http://schemas.microsoft.com/office/drawing/2014/main" id="{00000000-0008-0000-0000-000007000000}"/>
              </a:ext>
            </a:extLst>
          </xdr:cNvPr>
          <xdr:cNvSpPr txBox="1"/>
        </xdr:nvSpPr>
        <xdr:spPr>
          <a:xfrm>
            <a:off x="1523865" y="4939744"/>
            <a:ext cx="1150858" cy="660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3F92F7-697F-40C0-A694-2C67DD423597}" type="TxLink">
              <a:rPr lang="en-US" sz="4800" b="1" i="0" u="none" strike="noStrike">
                <a:solidFill>
                  <a:srgbClr val="990033"/>
                </a:solidFill>
                <a:latin typeface="Bahnschrift" panose="020B0502040204020203" pitchFamily="34" charset="0"/>
                <a:ea typeface="Calibri"/>
                <a:cs typeface="Calibri"/>
              </a:rPr>
              <a:pPr algn="ctr"/>
              <a:t>5</a:t>
            </a:fld>
            <a:endParaRPr lang="pt-BR" sz="4800" b="1">
              <a:solidFill>
                <a:srgbClr val="990033"/>
              </a:solidFill>
              <a:latin typeface="Bahnschrift" panose="020B0502040204020203" pitchFamily="34" charset="0"/>
            </a:endParaRPr>
          </a:p>
        </xdr:txBody>
      </xdr:sp>
      <xdr:sp macro="" textlink="">
        <xdr:nvSpPr>
          <xdr:cNvPr id="9" name="CaixaDeTexto 8">
            <a:extLst>
              <a:ext uri="{FF2B5EF4-FFF2-40B4-BE49-F238E27FC236}">
                <a16:creationId xmlns:a16="http://schemas.microsoft.com/office/drawing/2014/main" id="{00000000-0008-0000-0000-000009000000}"/>
              </a:ext>
            </a:extLst>
          </xdr:cNvPr>
          <xdr:cNvSpPr txBox="1"/>
        </xdr:nvSpPr>
        <xdr:spPr>
          <a:xfrm>
            <a:off x="28574" y="3465586"/>
            <a:ext cx="4661865" cy="284488"/>
          </a:xfrm>
          <a:prstGeom prst="rect">
            <a:avLst/>
          </a:prstGeom>
          <a:noFill/>
          <a:ln w="9525" cmpd="sng">
            <a:solidFill>
              <a:srgbClr val="FFC8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800" b="1">
                <a:solidFill>
                  <a:schemeClr val="tx1">
                    <a:lumMod val="85000"/>
                    <a:lumOff val="15000"/>
                  </a:schemeClr>
                </a:solidFill>
                <a:latin typeface="Bahnschrift" panose="020B0502040204020203" pitchFamily="34" charset="0"/>
              </a:rPr>
              <a:t>TIPOLOGIA</a:t>
            </a:r>
            <a:r>
              <a:rPr lang="pt-BR" sz="1800" b="1" baseline="0">
                <a:solidFill>
                  <a:schemeClr val="tx1">
                    <a:lumMod val="85000"/>
                    <a:lumOff val="15000"/>
                  </a:schemeClr>
                </a:solidFill>
                <a:latin typeface="Bahnschrift" panose="020B0502040204020203" pitchFamily="34" charset="0"/>
              </a:rPr>
              <a:t> DOS EVENTOS ACIDENTAIS</a:t>
            </a:r>
            <a:endParaRPr lang="pt-BR" sz="1800" b="1">
              <a:solidFill>
                <a:schemeClr val="tx1">
                  <a:lumMod val="85000"/>
                  <a:lumOff val="15000"/>
                </a:schemeClr>
              </a:solidFill>
              <a:latin typeface="Bahnschrift" panose="020B0502040204020203" pitchFamily="34" charset="0"/>
            </a:endParaRPr>
          </a:p>
        </xdr:txBody>
      </xdr:sp>
    </xdr:grpSp>
    <xdr:clientData/>
  </xdr:twoCellAnchor>
  <xdr:twoCellAnchor>
    <xdr:from>
      <xdr:col>8</xdr:col>
      <xdr:colOff>190500</xdr:colOff>
      <xdr:row>19</xdr:row>
      <xdr:rowOff>78921</xdr:rowOff>
    </xdr:from>
    <xdr:to>
      <xdr:col>15</xdr:col>
      <xdr:colOff>571500</xdr:colOff>
      <xdr:row>38</xdr:row>
      <xdr:rowOff>40822</xdr:rowOff>
    </xdr:to>
    <xdr:grpSp>
      <xdr:nvGrpSpPr>
        <xdr:cNvPr id="32" name="Agrupar 31">
          <a:extLst>
            <a:ext uri="{FF2B5EF4-FFF2-40B4-BE49-F238E27FC236}">
              <a16:creationId xmlns:a16="http://schemas.microsoft.com/office/drawing/2014/main" id="{00000000-0008-0000-0000-000020000000}"/>
            </a:ext>
          </a:extLst>
        </xdr:cNvPr>
        <xdr:cNvGrpSpPr/>
      </xdr:nvGrpSpPr>
      <xdr:grpSpPr>
        <a:xfrm>
          <a:off x="4495800" y="3419021"/>
          <a:ext cx="4648200" cy="3340101"/>
          <a:chOff x="4495800" y="3463000"/>
          <a:chExt cx="4647884" cy="3403517"/>
        </a:xfrm>
      </xdr:grpSpPr>
      <xdr:graphicFrame macro="">
        <xdr:nvGraphicFramePr>
          <xdr:cNvPr id="11" name="Gráfico 10">
            <a:extLst>
              <a:ext uri="{FF2B5EF4-FFF2-40B4-BE49-F238E27FC236}">
                <a16:creationId xmlns:a16="http://schemas.microsoft.com/office/drawing/2014/main" id="{00000000-0008-0000-0000-00000B000000}"/>
              </a:ext>
            </a:extLst>
          </xdr:cNvPr>
          <xdr:cNvGraphicFramePr/>
        </xdr:nvGraphicFramePr>
        <xdr:xfrm>
          <a:off x="4495800" y="3773432"/>
          <a:ext cx="4647884" cy="3093085"/>
        </xdr:xfrm>
        <a:graphic>
          <a:graphicData uri="http://schemas.openxmlformats.org/drawingml/2006/chart">
            <c:chart xmlns:c="http://schemas.openxmlformats.org/drawingml/2006/chart" xmlns:r="http://schemas.openxmlformats.org/officeDocument/2006/relationships" r:id="rId3"/>
          </a:graphicData>
        </a:graphic>
      </xdr:graphicFrame>
      <xdr:sp macro="" textlink="$CJ$2">
        <xdr:nvSpPr>
          <xdr:cNvPr id="13" name="CaixaDeTexto 12">
            <a:extLst>
              <a:ext uri="{FF2B5EF4-FFF2-40B4-BE49-F238E27FC236}">
                <a16:creationId xmlns:a16="http://schemas.microsoft.com/office/drawing/2014/main" id="{00000000-0008-0000-0000-00000D000000}"/>
              </a:ext>
            </a:extLst>
          </xdr:cNvPr>
          <xdr:cNvSpPr txBox="1"/>
        </xdr:nvSpPr>
        <xdr:spPr>
          <a:xfrm>
            <a:off x="5995250" y="5017531"/>
            <a:ext cx="1065709" cy="544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E39DBB-4703-492F-8534-FA0BC134773D}" type="TxLink">
              <a:rPr lang="en-US" sz="4800" b="1" i="0" u="none" strike="noStrike">
                <a:solidFill>
                  <a:srgbClr val="990033"/>
                </a:solidFill>
                <a:latin typeface="Bahnschrift" panose="020B0502040204020203" pitchFamily="34" charset="0"/>
                <a:ea typeface="Calibri"/>
                <a:cs typeface="Calibri"/>
              </a:rPr>
              <a:pPr algn="ctr"/>
              <a:t>5</a:t>
            </a:fld>
            <a:endParaRPr lang="pt-BR" sz="8800" b="1">
              <a:solidFill>
                <a:srgbClr val="990033"/>
              </a:solidFill>
              <a:latin typeface="Bahnschrift" panose="020B0502040204020203" pitchFamily="34" charset="0"/>
            </a:endParaRPr>
          </a:p>
        </xdr:txBody>
      </xdr:sp>
      <xdr:sp macro="" textlink="">
        <xdr:nvSpPr>
          <xdr:cNvPr id="14" name="CaixaDeTexto 13">
            <a:extLst>
              <a:ext uri="{FF2B5EF4-FFF2-40B4-BE49-F238E27FC236}">
                <a16:creationId xmlns:a16="http://schemas.microsoft.com/office/drawing/2014/main" id="{00000000-0008-0000-0000-00000E000000}"/>
              </a:ext>
            </a:extLst>
          </xdr:cNvPr>
          <xdr:cNvSpPr txBox="1"/>
        </xdr:nvSpPr>
        <xdr:spPr>
          <a:xfrm>
            <a:off x="4536452" y="3463000"/>
            <a:ext cx="4565650" cy="287075"/>
          </a:xfrm>
          <a:prstGeom prst="rect">
            <a:avLst/>
          </a:prstGeom>
          <a:noFill/>
          <a:ln w="9525" cmpd="sng">
            <a:solidFill>
              <a:srgbClr val="FFC8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800" b="1">
                <a:solidFill>
                  <a:schemeClr val="tx1">
                    <a:lumMod val="85000"/>
                    <a:lumOff val="15000"/>
                  </a:schemeClr>
                </a:solidFill>
                <a:latin typeface="Bahnschrift" panose="020B0502040204020203" pitchFamily="34" charset="0"/>
              </a:rPr>
              <a:t>EVENTOS</a:t>
            </a:r>
            <a:r>
              <a:rPr lang="pt-BR" sz="1800" b="1" baseline="0">
                <a:solidFill>
                  <a:schemeClr val="tx1">
                    <a:lumMod val="85000"/>
                    <a:lumOff val="15000"/>
                  </a:schemeClr>
                </a:solidFill>
                <a:latin typeface="Bahnschrift" panose="020B0502040204020203" pitchFamily="34" charset="0"/>
              </a:rPr>
              <a:t> ACIDENTAIS POR BASE</a:t>
            </a:r>
            <a:endParaRPr lang="pt-BR" sz="1800" b="1">
              <a:solidFill>
                <a:schemeClr val="tx1">
                  <a:lumMod val="85000"/>
                  <a:lumOff val="15000"/>
                </a:schemeClr>
              </a:solidFill>
              <a:latin typeface="Bahnschrift" panose="020B0502040204020203" pitchFamily="34" charset="0"/>
            </a:endParaRPr>
          </a:p>
        </xdr:txBody>
      </xdr:sp>
    </xdr:grpSp>
    <xdr:clientData/>
  </xdr:twoCellAnchor>
  <xdr:twoCellAnchor>
    <xdr:from>
      <xdr:col>15</xdr:col>
      <xdr:colOff>514352</xdr:colOff>
      <xdr:row>19</xdr:row>
      <xdr:rowOff>78920</xdr:rowOff>
    </xdr:from>
    <xdr:to>
      <xdr:col>23</xdr:col>
      <xdr:colOff>136072</xdr:colOff>
      <xdr:row>38</xdr:row>
      <xdr:rowOff>13607</xdr:rowOff>
    </xdr:to>
    <xdr:grpSp>
      <xdr:nvGrpSpPr>
        <xdr:cNvPr id="33" name="Agrupar 32">
          <a:extLst>
            <a:ext uri="{FF2B5EF4-FFF2-40B4-BE49-F238E27FC236}">
              <a16:creationId xmlns:a16="http://schemas.microsoft.com/office/drawing/2014/main" id="{00000000-0008-0000-0000-000021000000}"/>
            </a:ext>
          </a:extLst>
        </xdr:cNvPr>
        <xdr:cNvGrpSpPr/>
      </xdr:nvGrpSpPr>
      <xdr:grpSpPr>
        <a:xfrm>
          <a:off x="9086852" y="3419020"/>
          <a:ext cx="4498520" cy="3312887"/>
          <a:chOff x="9086850" y="3462999"/>
          <a:chExt cx="4603873" cy="3377655"/>
        </a:xfrm>
      </xdr:grpSpPr>
      <xdr:graphicFrame macro="">
        <xdr:nvGraphicFramePr>
          <xdr:cNvPr id="16" name="Gráfico 15">
            <a:extLst>
              <a:ext uri="{FF2B5EF4-FFF2-40B4-BE49-F238E27FC236}">
                <a16:creationId xmlns:a16="http://schemas.microsoft.com/office/drawing/2014/main" id="{00000000-0008-0000-0000-000010000000}"/>
              </a:ext>
            </a:extLst>
          </xdr:cNvPr>
          <xdr:cNvGraphicFramePr/>
        </xdr:nvGraphicFramePr>
        <xdr:xfrm>
          <a:off x="9086850" y="3762376"/>
          <a:ext cx="4603873" cy="3078278"/>
        </xdr:xfrm>
        <a:graphic>
          <a:graphicData uri="http://schemas.openxmlformats.org/drawingml/2006/chart">
            <c:chart xmlns:c="http://schemas.openxmlformats.org/drawingml/2006/chart" xmlns:r="http://schemas.openxmlformats.org/officeDocument/2006/relationships" r:id="rId4"/>
          </a:graphicData>
        </a:graphic>
      </xdr:graphicFrame>
      <xdr:sp macro="" textlink="$CJ$2">
        <xdr:nvSpPr>
          <xdr:cNvPr id="17" name="CaixaDeTexto 16">
            <a:extLst>
              <a:ext uri="{FF2B5EF4-FFF2-40B4-BE49-F238E27FC236}">
                <a16:creationId xmlns:a16="http://schemas.microsoft.com/office/drawing/2014/main" id="{00000000-0008-0000-0000-000011000000}"/>
              </a:ext>
            </a:extLst>
          </xdr:cNvPr>
          <xdr:cNvSpPr txBox="1"/>
        </xdr:nvSpPr>
        <xdr:spPr>
          <a:xfrm>
            <a:off x="10169398" y="4970754"/>
            <a:ext cx="1065710" cy="544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71376A-79D1-4253-8AAF-FD5CD97E36A7}" type="TxLink">
              <a:rPr lang="en-US" sz="4800" b="1" i="0" u="none" strike="noStrike">
                <a:solidFill>
                  <a:srgbClr val="990033"/>
                </a:solidFill>
                <a:latin typeface="Bahnschrift" panose="020B0502040204020203" pitchFamily="34" charset="0"/>
                <a:ea typeface="Calibri"/>
                <a:cs typeface="Calibri"/>
              </a:rPr>
              <a:pPr algn="ctr"/>
              <a:t>5</a:t>
            </a:fld>
            <a:endParaRPr lang="pt-BR" sz="4800" b="1">
              <a:solidFill>
                <a:srgbClr val="990033"/>
              </a:solidFill>
              <a:latin typeface="Bahnschrift" panose="020B0502040204020203" pitchFamily="34" charset="0"/>
            </a:endParaRPr>
          </a:p>
        </xdr:txBody>
      </xdr:sp>
      <xdr:sp macro="" textlink="">
        <xdr:nvSpPr>
          <xdr:cNvPr id="19" name="CaixaDeTexto 18">
            <a:extLst>
              <a:ext uri="{FF2B5EF4-FFF2-40B4-BE49-F238E27FC236}">
                <a16:creationId xmlns:a16="http://schemas.microsoft.com/office/drawing/2014/main" id="{00000000-0008-0000-0000-000013000000}"/>
              </a:ext>
            </a:extLst>
          </xdr:cNvPr>
          <xdr:cNvSpPr txBox="1"/>
        </xdr:nvSpPr>
        <xdr:spPr>
          <a:xfrm>
            <a:off x="9100709" y="3462999"/>
            <a:ext cx="4565650" cy="287076"/>
          </a:xfrm>
          <a:prstGeom prst="rect">
            <a:avLst/>
          </a:prstGeom>
          <a:noFill/>
          <a:ln w="9525" cmpd="sng">
            <a:solidFill>
              <a:srgbClr val="FFC8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800" b="1">
                <a:solidFill>
                  <a:schemeClr val="tx1">
                    <a:lumMod val="85000"/>
                    <a:lumOff val="15000"/>
                  </a:schemeClr>
                </a:solidFill>
                <a:latin typeface="Bahnschrift" panose="020B0502040204020203" pitchFamily="34" charset="0"/>
              </a:rPr>
              <a:t>EVENTOS</a:t>
            </a:r>
            <a:r>
              <a:rPr lang="pt-BR" sz="1800" b="1" baseline="0">
                <a:solidFill>
                  <a:schemeClr val="tx1">
                    <a:lumMod val="85000"/>
                    <a:lumOff val="15000"/>
                  </a:schemeClr>
                </a:solidFill>
                <a:latin typeface="Bahnschrift" panose="020B0502040204020203" pitchFamily="34" charset="0"/>
              </a:rPr>
              <a:t> ACIDENTAIS POR PROCESSO</a:t>
            </a:r>
            <a:endParaRPr lang="pt-BR" sz="1800" b="1">
              <a:solidFill>
                <a:schemeClr val="tx1">
                  <a:lumMod val="85000"/>
                  <a:lumOff val="15000"/>
                </a:schemeClr>
              </a:solidFill>
              <a:latin typeface="Bahnschrift" panose="020B0502040204020203" pitchFamily="34" charset="0"/>
            </a:endParaRPr>
          </a:p>
        </xdr:txBody>
      </xdr:sp>
    </xdr:grpSp>
    <xdr:clientData/>
  </xdr:twoCellAnchor>
  <xdr:twoCellAnchor>
    <xdr:from>
      <xdr:col>23</xdr:col>
      <xdr:colOff>123823</xdr:colOff>
      <xdr:row>19</xdr:row>
      <xdr:rowOff>86592</xdr:rowOff>
    </xdr:from>
    <xdr:to>
      <xdr:col>29</xdr:col>
      <xdr:colOff>531047</xdr:colOff>
      <xdr:row>38</xdr:row>
      <xdr:rowOff>1</xdr:rowOff>
    </xdr:to>
    <xdr:grpSp>
      <xdr:nvGrpSpPr>
        <xdr:cNvPr id="23" name="Agrupar 22">
          <a:extLst>
            <a:ext uri="{FF2B5EF4-FFF2-40B4-BE49-F238E27FC236}">
              <a16:creationId xmlns:a16="http://schemas.microsoft.com/office/drawing/2014/main" id="{00000000-0008-0000-0000-000017000000}"/>
            </a:ext>
          </a:extLst>
        </xdr:cNvPr>
        <xdr:cNvGrpSpPr/>
      </xdr:nvGrpSpPr>
      <xdr:grpSpPr>
        <a:xfrm>
          <a:off x="13573123" y="3426692"/>
          <a:ext cx="4064824" cy="3291609"/>
          <a:chOff x="13677900" y="3650921"/>
          <a:chExt cx="4043687" cy="3383262"/>
        </a:xfrm>
      </xdr:grpSpPr>
      <xdr:graphicFrame macro="">
        <xdr:nvGraphicFramePr>
          <xdr:cNvPr id="21" name="Gráfico 20">
            <a:extLst>
              <a:ext uri="{FF2B5EF4-FFF2-40B4-BE49-F238E27FC236}">
                <a16:creationId xmlns:a16="http://schemas.microsoft.com/office/drawing/2014/main" id="{00000000-0008-0000-0000-000015000000}"/>
              </a:ext>
            </a:extLst>
          </xdr:cNvPr>
          <xdr:cNvGraphicFramePr/>
        </xdr:nvGraphicFramePr>
        <xdr:xfrm>
          <a:off x="13677901" y="3933824"/>
          <a:ext cx="4043686" cy="310035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2" name="CaixaDeTexto 21">
            <a:extLst>
              <a:ext uri="{FF2B5EF4-FFF2-40B4-BE49-F238E27FC236}">
                <a16:creationId xmlns:a16="http://schemas.microsoft.com/office/drawing/2014/main" id="{00000000-0008-0000-0000-000016000000}"/>
              </a:ext>
            </a:extLst>
          </xdr:cNvPr>
          <xdr:cNvSpPr txBox="1"/>
        </xdr:nvSpPr>
        <xdr:spPr>
          <a:xfrm>
            <a:off x="13677900" y="3650921"/>
            <a:ext cx="4032185" cy="281938"/>
          </a:xfrm>
          <a:prstGeom prst="rect">
            <a:avLst/>
          </a:prstGeom>
          <a:noFill/>
          <a:ln w="9525" cmpd="sng">
            <a:solidFill>
              <a:srgbClr val="FFC8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800" b="1">
                <a:solidFill>
                  <a:schemeClr val="tx1">
                    <a:lumMod val="85000"/>
                    <a:lumOff val="15000"/>
                  </a:schemeClr>
                </a:solidFill>
                <a:latin typeface="Bahnschrift" panose="020B0502040204020203" pitchFamily="34" charset="0"/>
              </a:rPr>
              <a:t>EVENTOS</a:t>
            </a:r>
            <a:r>
              <a:rPr lang="pt-BR" sz="1800" b="1" baseline="0">
                <a:solidFill>
                  <a:schemeClr val="tx1">
                    <a:lumMod val="85000"/>
                    <a:lumOff val="15000"/>
                  </a:schemeClr>
                </a:solidFill>
                <a:latin typeface="Bahnschrift" panose="020B0502040204020203" pitchFamily="34" charset="0"/>
              </a:rPr>
              <a:t> ACIDENTAIS POR EQUIPE</a:t>
            </a:r>
            <a:endParaRPr lang="pt-BR" sz="1800" b="1">
              <a:solidFill>
                <a:schemeClr val="tx1">
                  <a:lumMod val="85000"/>
                  <a:lumOff val="15000"/>
                </a:schemeClr>
              </a:solidFill>
              <a:latin typeface="Bahnschrift" panose="020B0502040204020203" pitchFamily="34" charset="0"/>
            </a:endParaRPr>
          </a:p>
        </xdr:txBody>
      </xdr:sp>
    </xdr:grpSp>
    <xdr:clientData/>
  </xdr:twoCellAnchor>
  <xdr:twoCellAnchor editAs="oneCell">
    <xdr:from>
      <xdr:col>22</xdr:col>
      <xdr:colOff>38100</xdr:colOff>
      <xdr:row>3</xdr:row>
      <xdr:rowOff>0</xdr:rowOff>
    </xdr:from>
    <xdr:to>
      <xdr:col>24</xdr:col>
      <xdr:colOff>398319</xdr:colOff>
      <xdr:row>9</xdr:row>
      <xdr:rowOff>100965</xdr:rowOff>
    </xdr:to>
    <mc:AlternateContent xmlns:mc="http://schemas.openxmlformats.org/markup-compatibility/2006" xmlns:a14="http://schemas.microsoft.com/office/drawing/2010/main">
      <mc:Choice Requires="a14">
        <xdr:graphicFrame macro="">
          <xdr:nvGraphicFramePr>
            <xdr:cNvPr id="25" name="PROCESSO">
              <a:extLst>
                <a:ext uri="{FF2B5EF4-FFF2-40B4-BE49-F238E27FC236}">
                  <a16:creationId xmlns:a16="http://schemas.microsoft.com/office/drawing/2014/main" id="{00000000-0008-0000-0000-000019000000}"/>
                </a:ext>
              </a:extLst>
            </xdr:cNvPr>
            <xdr:cNvGraphicFramePr/>
          </xdr:nvGraphicFramePr>
          <xdr:xfrm>
            <a:off x="0" y="0"/>
            <a:ext cx="0" cy="0"/>
          </xdr:xfrm>
          <a:graphic>
            <a:graphicData uri="http://schemas.microsoft.com/office/drawing/2010/slicer">
              <sle:slicer xmlns:sle="http://schemas.microsoft.com/office/drawing/2010/slicer" name="PROCESSO"/>
            </a:graphicData>
          </a:graphic>
        </xdr:graphicFrame>
      </mc:Choice>
      <mc:Fallback xmlns="">
        <xdr:sp macro="" textlink="">
          <xdr:nvSpPr>
            <xdr:cNvPr id="0" name=""/>
            <xdr:cNvSpPr>
              <a:spLocks noTextEdit="1"/>
            </xdr:cNvSpPr>
          </xdr:nvSpPr>
          <xdr:spPr>
            <a:xfrm>
              <a:off x="12881264" y="498764"/>
              <a:ext cx="1579419" cy="1195474"/>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24</xdr:col>
      <xdr:colOff>455642</xdr:colOff>
      <xdr:row>3</xdr:row>
      <xdr:rowOff>1</xdr:rowOff>
    </xdr:from>
    <xdr:to>
      <xdr:col>29</xdr:col>
      <xdr:colOff>517073</xdr:colOff>
      <xdr:row>9</xdr:row>
      <xdr:rowOff>95251</xdr:rowOff>
    </xdr:to>
    <mc:AlternateContent xmlns:mc="http://schemas.openxmlformats.org/markup-compatibility/2006" xmlns:a14="http://schemas.microsoft.com/office/drawing/2010/main">
      <mc:Choice Requires="a14">
        <xdr:graphicFrame macro="">
          <xdr:nvGraphicFramePr>
            <xdr:cNvPr id="26" name="TIPO">
              <a:extLst>
                <a:ext uri="{FF2B5EF4-FFF2-40B4-BE49-F238E27FC236}">
                  <a16:creationId xmlns:a16="http://schemas.microsoft.com/office/drawing/2014/main" id="{00000000-0008-0000-0000-00001A000000}"/>
                </a:ext>
              </a:extLst>
            </xdr:cNvPr>
            <xdr:cNvGraphicFramePr/>
          </xdr:nvGraphicFramePr>
          <xdr:xfrm>
            <a:off x="0" y="0"/>
            <a:ext cx="0" cy="0"/>
          </xdr:xfrm>
          <a:graphic>
            <a:graphicData uri="http://schemas.microsoft.com/office/drawing/2010/slicer">
              <sle:slicer xmlns:sle="http://schemas.microsoft.com/office/drawing/2010/slicer" name="TIPO"/>
            </a:graphicData>
          </a:graphic>
        </xdr:graphicFrame>
      </mc:Choice>
      <mc:Fallback xmlns="">
        <xdr:sp macro="" textlink="">
          <xdr:nvSpPr>
            <xdr:cNvPr id="0" name=""/>
            <xdr:cNvSpPr>
              <a:spLocks noTextEdit="1"/>
            </xdr:cNvSpPr>
          </xdr:nvSpPr>
          <xdr:spPr>
            <a:xfrm>
              <a:off x="14431415" y="467592"/>
              <a:ext cx="3092113" cy="123825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22</xdr:col>
      <xdr:colOff>38100</xdr:colOff>
      <xdr:row>1</xdr:row>
      <xdr:rowOff>0</xdr:rowOff>
    </xdr:from>
    <xdr:to>
      <xdr:col>30</xdr:col>
      <xdr:colOff>86591</xdr:colOff>
      <xdr:row>2</xdr:row>
      <xdr:rowOff>0</xdr:rowOff>
    </xdr:to>
    <xdr:sp macro="" textlink="">
      <xdr:nvSpPr>
        <xdr:cNvPr id="30" name="CaixaDeTexto 29">
          <a:extLst>
            <a:ext uri="{FF2B5EF4-FFF2-40B4-BE49-F238E27FC236}">
              <a16:creationId xmlns:a16="http://schemas.microsoft.com/office/drawing/2014/main" id="{00000000-0008-0000-0000-00001E000000}"/>
            </a:ext>
          </a:extLst>
        </xdr:cNvPr>
        <xdr:cNvSpPr txBox="1"/>
      </xdr:nvSpPr>
      <xdr:spPr>
        <a:xfrm>
          <a:off x="12801600" y="34636"/>
          <a:ext cx="4897582" cy="363682"/>
        </a:xfrm>
        <a:prstGeom prst="rect">
          <a:avLst/>
        </a:prstGeom>
        <a:noFill/>
        <a:ln w="19050"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b="1">
              <a:solidFill>
                <a:schemeClr val="accent5">
                  <a:lumMod val="50000"/>
                </a:schemeClr>
              </a:solidFill>
              <a:latin typeface="Bahnschrift" panose="020B0502040204020203" pitchFamily="34" charset="0"/>
            </a:rPr>
            <a:t>PARÂMETROS DO RELATÓRIO</a:t>
          </a:r>
        </a:p>
      </xdr:txBody>
    </xdr:sp>
    <xdr:clientData/>
  </xdr:twoCellAnchor>
  <xdr:twoCellAnchor editAs="oneCell">
    <xdr:from>
      <xdr:col>22</xdr:col>
      <xdr:colOff>39832</xdr:colOff>
      <xdr:row>9</xdr:row>
      <xdr:rowOff>138545</xdr:rowOff>
    </xdr:from>
    <xdr:to>
      <xdr:col>24</xdr:col>
      <xdr:colOff>415636</xdr:colOff>
      <xdr:row>19</xdr:row>
      <xdr:rowOff>69272</xdr:rowOff>
    </xdr:to>
    <mc:AlternateContent xmlns:mc="http://schemas.openxmlformats.org/markup-compatibility/2006" xmlns:a14="http://schemas.microsoft.com/office/drawing/2010/main">
      <mc:Choice Requires="a14">
        <xdr:graphicFrame macro="">
          <xdr:nvGraphicFramePr>
            <xdr:cNvPr id="10" name="BASE">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BASE"/>
            </a:graphicData>
          </a:graphic>
        </xdr:graphicFrame>
      </mc:Choice>
      <mc:Fallback xmlns="">
        <xdr:sp macro="" textlink="">
          <xdr:nvSpPr>
            <xdr:cNvPr id="0" name=""/>
            <xdr:cNvSpPr>
              <a:spLocks noTextEdit="1"/>
            </xdr:cNvSpPr>
          </xdr:nvSpPr>
          <xdr:spPr>
            <a:xfrm>
              <a:off x="12803332" y="1749136"/>
              <a:ext cx="1588077" cy="1835727"/>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xdr:col>
      <xdr:colOff>136073</xdr:colOff>
      <xdr:row>0</xdr:row>
      <xdr:rowOff>0</xdr:rowOff>
    </xdr:from>
    <xdr:to>
      <xdr:col>4</xdr:col>
      <xdr:colOff>63170</xdr:colOff>
      <xdr:row>4</xdr:row>
      <xdr:rowOff>5728</xdr:rowOff>
    </xdr:to>
    <xdr:pic>
      <xdr:nvPicPr>
        <xdr:cNvPr id="27" name="Imagem 26">
          <a:extLst>
            <a:ext uri="{FF2B5EF4-FFF2-40B4-BE49-F238E27FC236}">
              <a16:creationId xmlns:a16="http://schemas.microsoft.com/office/drawing/2014/main" id="{00000000-0008-0000-0000-00001B000000}"/>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31234" b="65365" l="13369" r="81373">
                      <a14:foregroundMark x1="41979" y1="46977" x2="41979" y2="46977"/>
                      <a14:foregroundMark x1="52585" y1="46977" x2="52585" y2="46977"/>
                      <a14:foregroundMark x1="64884" y1="46977" x2="64884" y2="46977"/>
                      <a14:foregroundMark x1="70766" y1="43955" x2="70766" y2="49370"/>
                      <a14:foregroundMark x1="55971" y1="43451" x2="59715" y2="43451"/>
                      <a14:foregroundMark x1="44474" y1="42191" x2="47059" y2="42191"/>
                      <a14:backgroundMark x1="31818" y1="48866" x2="31818" y2="48866"/>
                    </a14:backgroundRemoval>
                  </a14:imgEffect>
                </a14:imgLayer>
              </a14:imgProps>
            </a:ext>
            <a:ext uri="{28A0092B-C50C-407E-A947-70E740481C1C}">
              <a14:useLocalDpi xmlns:a14="http://schemas.microsoft.com/office/drawing/2010/main" val="0"/>
            </a:ext>
          </a:extLst>
        </a:blip>
        <a:srcRect l="21181" t="30384" r="17093" b="35000"/>
        <a:stretch/>
      </xdr:blipFill>
      <xdr:spPr>
        <a:xfrm>
          <a:off x="176894" y="0"/>
          <a:ext cx="1764062" cy="686085"/>
        </a:xfrm>
        <a:prstGeom prst="rect">
          <a:avLst/>
        </a:prstGeom>
      </xdr:spPr>
    </xdr:pic>
    <xdr:clientData/>
  </xdr:twoCellAnchor>
  <xdr:twoCellAnchor editAs="oneCell">
    <xdr:from>
      <xdr:col>24</xdr:col>
      <xdr:colOff>459922</xdr:colOff>
      <xdr:row>9</xdr:row>
      <xdr:rowOff>138546</xdr:rowOff>
    </xdr:from>
    <xdr:to>
      <xdr:col>29</xdr:col>
      <xdr:colOff>512884</xdr:colOff>
      <xdr:row>19</xdr:row>
      <xdr:rowOff>73269</xdr:rowOff>
    </xdr:to>
    <mc:AlternateContent xmlns:mc="http://schemas.openxmlformats.org/markup-compatibility/2006" xmlns:a14="http://schemas.microsoft.com/office/drawing/2010/main">
      <mc:Choice Requires="a14">
        <xdr:graphicFrame macro="">
          <xdr:nvGraphicFramePr>
            <xdr:cNvPr id="8" name="MÊS 1">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MÊS 1"/>
            </a:graphicData>
          </a:graphic>
        </xdr:graphicFrame>
      </mc:Choice>
      <mc:Fallback xmlns="">
        <xdr:sp macro="" textlink="">
          <xdr:nvSpPr>
            <xdr:cNvPr id="0" name=""/>
            <xdr:cNvSpPr>
              <a:spLocks noTextEdit="1"/>
            </xdr:cNvSpPr>
          </xdr:nvSpPr>
          <xdr:spPr>
            <a:xfrm>
              <a:off x="14435695" y="1749137"/>
              <a:ext cx="3083644" cy="1839723"/>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0.32949</cdr:x>
      <cdr:y>0.06507</cdr:y>
    </cdr:from>
    <cdr:to>
      <cdr:x>0.68973</cdr:x>
      <cdr:y>0.23084</cdr:y>
    </cdr:to>
    <cdr:sp macro="" textlink="">
      <cdr:nvSpPr>
        <cdr:cNvPr id="3" name="CaixaDeTexto 2"/>
        <cdr:cNvSpPr txBox="1"/>
      </cdr:nvSpPr>
      <cdr:spPr>
        <a:xfrm xmlns:a="http://schemas.openxmlformats.org/drawingml/2006/main">
          <a:off x="4244066" y="186955"/>
          <a:ext cx="4640037" cy="4762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pt-BR" sz="1800" b="1">
              <a:solidFill>
                <a:schemeClr val="tx1">
                  <a:lumMod val="65000"/>
                  <a:lumOff val="35000"/>
                </a:schemeClr>
              </a:solidFill>
              <a:latin typeface="Bahnschrift" panose="020B0502040204020203" pitchFamily="34" charset="0"/>
            </a:rPr>
            <a:t>COMPORTAMENTO MENSAL DE ACIDENTES</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28576</xdr:colOff>
      <xdr:row>4</xdr:row>
      <xdr:rowOff>163287</xdr:rowOff>
    </xdr:from>
    <xdr:to>
      <xdr:col>23</xdr:col>
      <xdr:colOff>9525</xdr:colOff>
      <xdr:row>19</xdr:row>
      <xdr:rowOff>114299</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19</xdr:row>
      <xdr:rowOff>81642</xdr:rowOff>
    </xdr:from>
    <xdr:to>
      <xdr:col>9</xdr:col>
      <xdr:colOff>408215</xdr:colOff>
      <xdr:row>38</xdr:row>
      <xdr:rowOff>40821</xdr:rowOff>
    </xdr:to>
    <xdr:grpSp>
      <xdr:nvGrpSpPr>
        <xdr:cNvPr id="6" name="Agrupar 30">
          <a:extLst>
            <a:ext uri="{FF2B5EF4-FFF2-40B4-BE49-F238E27FC236}">
              <a16:creationId xmlns:a16="http://schemas.microsoft.com/office/drawing/2014/main" id="{00000000-0008-0000-0200-000006000000}"/>
            </a:ext>
          </a:extLst>
        </xdr:cNvPr>
        <xdr:cNvGrpSpPr/>
      </xdr:nvGrpSpPr>
      <xdr:grpSpPr>
        <a:xfrm>
          <a:off x="431800" y="3409042"/>
          <a:ext cx="4840515" cy="3337379"/>
          <a:chOff x="139" y="3465586"/>
          <a:chExt cx="4886900" cy="3400930"/>
        </a:xfrm>
      </xdr:grpSpPr>
      <xdr:graphicFrame macro="">
        <xdr:nvGraphicFramePr>
          <xdr:cNvPr id="7" name="Gráfico 6">
            <a:extLst>
              <a:ext uri="{FF2B5EF4-FFF2-40B4-BE49-F238E27FC236}">
                <a16:creationId xmlns:a16="http://schemas.microsoft.com/office/drawing/2014/main" id="{00000000-0008-0000-0200-000007000000}"/>
              </a:ext>
            </a:extLst>
          </xdr:cNvPr>
          <xdr:cNvGraphicFramePr/>
        </xdr:nvGraphicFramePr>
        <xdr:xfrm>
          <a:off x="139" y="3782056"/>
          <a:ext cx="4886900" cy="3084460"/>
        </xdr:xfrm>
        <a:graphic>
          <a:graphicData uri="http://schemas.openxmlformats.org/drawingml/2006/chart">
            <c:chart xmlns:c="http://schemas.openxmlformats.org/drawingml/2006/chart" xmlns:r="http://schemas.openxmlformats.org/officeDocument/2006/relationships" r:id="rId2"/>
          </a:graphicData>
        </a:graphic>
      </xdr:graphicFrame>
      <xdr:sp macro="" textlink="$CK$2">
        <xdr:nvSpPr>
          <xdr:cNvPr id="8" name="CaixaDeTexto 7">
            <a:extLst>
              <a:ext uri="{FF2B5EF4-FFF2-40B4-BE49-F238E27FC236}">
                <a16:creationId xmlns:a16="http://schemas.microsoft.com/office/drawing/2014/main" id="{00000000-0008-0000-0200-000008000000}"/>
              </a:ext>
            </a:extLst>
          </xdr:cNvPr>
          <xdr:cNvSpPr txBox="1"/>
        </xdr:nvSpPr>
        <xdr:spPr>
          <a:xfrm>
            <a:off x="999496" y="4965617"/>
            <a:ext cx="1150858" cy="660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9D5319-75D7-4F2F-8564-64A996D4D991}" type="TxLink">
              <a:rPr lang="en-US" sz="4800" b="1" i="0" u="none" strike="noStrike">
                <a:solidFill>
                  <a:srgbClr val="002060"/>
                </a:solidFill>
                <a:latin typeface="Bahnschrift" panose="020B0502040204020203" pitchFamily="34" charset="0"/>
                <a:ea typeface="Calibri"/>
                <a:cs typeface="Calibri"/>
              </a:rPr>
              <a:pPr algn="ctr"/>
              <a:t>27</a:t>
            </a:fld>
            <a:endParaRPr lang="pt-BR" sz="23900" b="1">
              <a:solidFill>
                <a:srgbClr val="002060"/>
              </a:solidFill>
              <a:latin typeface="Bahnschrift" panose="020B0502040204020203" pitchFamily="34" charset="0"/>
            </a:endParaRPr>
          </a:p>
        </xdr:txBody>
      </xdr:sp>
      <xdr:sp macro="" textlink="">
        <xdr:nvSpPr>
          <xdr:cNvPr id="9" name="CaixaDeTexto 8">
            <a:extLst>
              <a:ext uri="{FF2B5EF4-FFF2-40B4-BE49-F238E27FC236}">
                <a16:creationId xmlns:a16="http://schemas.microsoft.com/office/drawing/2014/main" id="{00000000-0008-0000-0200-000009000000}"/>
              </a:ext>
            </a:extLst>
          </xdr:cNvPr>
          <xdr:cNvSpPr txBox="1"/>
        </xdr:nvSpPr>
        <xdr:spPr>
          <a:xfrm>
            <a:off x="28574" y="3465586"/>
            <a:ext cx="4661865" cy="284488"/>
          </a:xfrm>
          <a:prstGeom prst="rect">
            <a:avLst/>
          </a:prstGeom>
          <a:noFill/>
          <a:ln w="9525" cmpd="sng">
            <a:solidFill>
              <a:srgbClr val="FFC8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800" b="1">
                <a:solidFill>
                  <a:schemeClr val="tx1">
                    <a:lumMod val="85000"/>
                    <a:lumOff val="15000"/>
                  </a:schemeClr>
                </a:solidFill>
                <a:latin typeface="Bahnschrift" panose="020B0502040204020203" pitchFamily="34" charset="0"/>
              </a:rPr>
              <a:t>TIPOLOGIA</a:t>
            </a:r>
            <a:r>
              <a:rPr lang="pt-BR" sz="1800" b="1" baseline="0">
                <a:solidFill>
                  <a:schemeClr val="tx1">
                    <a:lumMod val="85000"/>
                    <a:lumOff val="15000"/>
                  </a:schemeClr>
                </a:solidFill>
                <a:latin typeface="Bahnschrift" panose="020B0502040204020203" pitchFamily="34" charset="0"/>
              </a:rPr>
              <a:t> DOS INCIDENTES</a:t>
            </a:r>
            <a:endParaRPr lang="pt-BR" sz="1800" b="1">
              <a:solidFill>
                <a:schemeClr val="tx1">
                  <a:lumMod val="85000"/>
                  <a:lumOff val="15000"/>
                </a:schemeClr>
              </a:solidFill>
              <a:latin typeface="Bahnschrift" panose="020B0502040204020203" pitchFamily="34" charset="0"/>
            </a:endParaRPr>
          </a:p>
        </xdr:txBody>
      </xdr:sp>
    </xdr:grpSp>
    <xdr:clientData/>
  </xdr:twoCellAnchor>
  <xdr:twoCellAnchor>
    <xdr:from>
      <xdr:col>9</xdr:col>
      <xdr:colOff>190500</xdr:colOff>
      <xdr:row>19</xdr:row>
      <xdr:rowOff>78921</xdr:rowOff>
    </xdr:from>
    <xdr:to>
      <xdr:col>16</xdr:col>
      <xdr:colOff>571500</xdr:colOff>
      <xdr:row>38</xdr:row>
      <xdr:rowOff>40822</xdr:rowOff>
    </xdr:to>
    <xdr:grpSp>
      <xdr:nvGrpSpPr>
        <xdr:cNvPr id="10" name="Agrupar 31">
          <a:extLst>
            <a:ext uri="{FF2B5EF4-FFF2-40B4-BE49-F238E27FC236}">
              <a16:creationId xmlns:a16="http://schemas.microsoft.com/office/drawing/2014/main" id="{00000000-0008-0000-0200-00000A000000}"/>
            </a:ext>
          </a:extLst>
        </xdr:cNvPr>
        <xdr:cNvGrpSpPr/>
      </xdr:nvGrpSpPr>
      <xdr:grpSpPr>
        <a:xfrm>
          <a:off x="5054600" y="3406321"/>
          <a:ext cx="4648200" cy="3340101"/>
          <a:chOff x="4495800" y="3463000"/>
          <a:chExt cx="4647884" cy="3403517"/>
        </a:xfrm>
      </xdr:grpSpPr>
      <xdr:graphicFrame macro="">
        <xdr:nvGraphicFramePr>
          <xdr:cNvPr id="11" name="Gráfico 10">
            <a:extLst>
              <a:ext uri="{FF2B5EF4-FFF2-40B4-BE49-F238E27FC236}">
                <a16:creationId xmlns:a16="http://schemas.microsoft.com/office/drawing/2014/main" id="{00000000-0008-0000-0200-00000B000000}"/>
              </a:ext>
            </a:extLst>
          </xdr:cNvPr>
          <xdr:cNvGraphicFramePr/>
        </xdr:nvGraphicFramePr>
        <xdr:xfrm>
          <a:off x="4495800" y="3773432"/>
          <a:ext cx="4647884" cy="3093085"/>
        </xdr:xfrm>
        <a:graphic>
          <a:graphicData uri="http://schemas.openxmlformats.org/drawingml/2006/chart">
            <c:chart xmlns:c="http://schemas.openxmlformats.org/drawingml/2006/chart" xmlns:r="http://schemas.openxmlformats.org/officeDocument/2006/relationships" r:id="rId3"/>
          </a:graphicData>
        </a:graphic>
      </xdr:graphicFrame>
      <xdr:sp macro="" textlink="$CK$2">
        <xdr:nvSpPr>
          <xdr:cNvPr id="12" name="CaixaDeTexto 11">
            <a:extLst>
              <a:ext uri="{FF2B5EF4-FFF2-40B4-BE49-F238E27FC236}">
                <a16:creationId xmlns:a16="http://schemas.microsoft.com/office/drawing/2014/main" id="{00000000-0008-0000-0200-00000C000000}"/>
              </a:ext>
            </a:extLst>
          </xdr:cNvPr>
          <xdr:cNvSpPr txBox="1"/>
        </xdr:nvSpPr>
        <xdr:spPr>
          <a:xfrm>
            <a:off x="6012658" y="5017531"/>
            <a:ext cx="1065709" cy="544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C2ADC2-8833-4D5D-9DE2-1888ECA8E3A5}" type="TxLink">
              <a:rPr lang="en-US" sz="4800" b="1" i="0" u="none" strike="noStrike">
                <a:solidFill>
                  <a:srgbClr val="002060"/>
                </a:solidFill>
                <a:latin typeface="Bahnschrift" panose="020B0502040204020203" pitchFamily="34" charset="0"/>
                <a:ea typeface="Calibri"/>
                <a:cs typeface="Calibri"/>
              </a:rPr>
              <a:pPr algn="ctr"/>
              <a:t>27</a:t>
            </a:fld>
            <a:endParaRPr lang="pt-BR" sz="4800" b="1">
              <a:solidFill>
                <a:srgbClr val="002060"/>
              </a:solidFill>
              <a:latin typeface="Bahnschrift" panose="020B0502040204020203" pitchFamily="34" charset="0"/>
            </a:endParaRPr>
          </a:p>
        </xdr:txBody>
      </xdr:sp>
      <xdr:sp macro="" textlink="">
        <xdr:nvSpPr>
          <xdr:cNvPr id="13" name="CaixaDeTexto 12">
            <a:extLst>
              <a:ext uri="{FF2B5EF4-FFF2-40B4-BE49-F238E27FC236}">
                <a16:creationId xmlns:a16="http://schemas.microsoft.com/office/drawing/2014/main" id="{00000000-0008-0000-0200-00000D000000}"/>
              </a:ext>
            </a:extLst>
          </xdr:cNvPr>
          <xdr:cNvSpPr txBox="1"/>
        </xdr:nvSpPr>
        <xdr:spPr>
          <a:xfrm>
            <a:off x="4536452" y="3463000"/>
            <a:ext cx="4565650" cy="287075"/>
          </a:xfrm>
          <a:prstGeom prst="rect">
            <a:avLst/>
          </a:prstGeom>
          <a:noFill/>
          <a:ln w="9525" cmpd="sng">
            <a:solidFill>
              <a:srgbClr val="FFC8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800" b="1">
                <a:solidFill>
                  <a:schemeClr val="tx1">
                    <a:lumMod val="85000"/>
                    <a:lumOff val="15000"/>
                  </a:schemeClr>
                </a:solidFill>
                <a:latin typeface="Bahnschrift" panose="020B0502040204020203" pitchFamily="34" charset="0"/>
              </a:rPr>
              <a:t>INCIDENTES</a:t>
            </a:r>
            <a:r>
              <a:rPr lang="pt-BR" sz="1800" b="1" baseline="0">
                <a:solidFill>
                  <a:schemeClr val="tx1">
                    <a:lumMod val="85000"/>
                    <a:lumOff val="15000"/>
                  </a:schemeClr>
                </a:solidFill>
                <a:latin typeface="Bahnschrift" panose="020B0502040204020203" pitchFamily="34" charset="0"/>
              </a:rPr>
              <a:t> POR BASE</a:t>
            </a:r>
            <a:endParaRPr lang="pt-BR" sz="1800" b="1">
              <a:solidFill>
                <a:schemeClr val="tx1">
                  <a:lumMod val="85000"/>
                  <a:lumOff val="15000"/>
                </a:schemeClr>
              </a:solidFill>
              <a:latin typeface="Bahnschrift" panose="020B0502040204020203" pitchFamily="34" charset="0"/>
            </a:endParaRPr>
          </a:p>
        </xdr:txBody>
      </xdr:sp>
    </xdr:grpSp>
    <xdr:clientData/>
  </xdr:twoCellAnchor>
  <xdr:twoCellAnchor>
    <xdr:from>
      <xdr:col>16</xdr:col>
      <xdr:colOff>514352</xdr:colOff>
      <xdr:row>19</xdr:row>
      <xdr:rowOff>78920</xdr:rowOff>
    </xdr:from>
    <xdr:to>
      <xdr:col>24</xdr:col>
      <xdr:colOff>136072</xdr:colOff>
      <xdr:row>38</xdr:row>
      <xdr:rowOff>13607</xdr:rowOff>
    </xdr:to>
    <xdr:grpSp>
      <xdr:nvGrpSpPr>
        <xdr:cNvPr id="14" name="Agrupar 32">
          <a:extLst>
            <a:ext uri="{FF2B5EF4-FFF2-40B4-BE49-F238E27FC236}">
              <a16:creationId xmlns:a16="http://schemas.microsoft.com/office/drawing/2014/main" id="{00000000-0008-0000-0200-00000E000000}"/>
            </a:ext>
          </a:extLst>
        </xdr:cNvPr>
        <xdr:cNvGrpSpPr/>
      </xdr:nvGrpSpPr>
      <xdr:grpSpPr>
        <a:xfrm>
          <a:off x="9645652" y="3406320"/>
          <a:ext cx="4498520" cy="3312887"/>
          <a:chOff x="9086850" y="3462999"/>
          <a:chExt cx="4603873" cy="3377655"/>
        </a:xfrm>
      </xdr:grpSpPr>
      <xdr:graphicFrame macro="">
        <xdr:nvGraphicFramePr>
          <xdr:cNvPr id="15" name="Gráfico 14">
            <a:extLst>
              <a:ext uri="{FF2B5EF4-FFF2-40B4-BE49-F238E27FC236}">
                <a16:creationId xmlns:a16="http://schemas.microsoft.com/office/drawing/2014/main" id="{00000000-0008-0000-0200-00000F000000}"/>
              </a:ext>
            </a:extLst>
          </xdr:cNvPr>
          <xdr:cNvGraphicFramePr/>
        </xdr:nvGraphicFramePr>
        <xdr:xfrm>
          <a:off x="9086850" y="3762376"/>
          <a:ext cx="4603873" cy="3078278"/>
        </xdr:xfrm>
        <a:graphic>
          <a:graphicData uri="http://schemas.openxmlformats.org/drawingml/2006/chart">
            <c:chart xmlns:c="http://schemas.openxmlformats.org/drawingml/2006/chart" xmlns:r="http://schemas.openxmlformats.org/officeDocument/2006/relationships" r:id="rId4"/>
          </a:graphicData>
        </a:graphic>
      </xdr:graphicFrame>
      <xdr:sp macro="" textlink="$CK$2">
        <xdr:nvSpPr>
          <xdr:cNvPr id="16" name="CaixaDeTexto 15">
            <a:extLst>
              <a:ext uri="{FF2B5EF4-FFF2-40B4-BE49-F238E27FC236}">
                <a16:creationId xmlns:a16="http://schemas.microsoft.com/office/drawing/2014/main" id="{00000000-0008-0000-0200-000010000000}"/>
              </a:ext>
            </a:extLst>
          </xdr:cNvPr>
          <xdr:cNvSpPr txBox="1"/>
        </xdr:nvSpPr>
        <xdr:spPr>
          <a:xfrm>
            <a:off x="10437175" y="4983719"/>
            <a:ext cx="1065710" cy="544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2D2DBD-98DA-4641-8C3D-2A2C947D6D0E}" type="TxLink">
              <a:rPr lang="en-US" sz="4800" b="1" i="0" u="none" strike="noStrike">
                <a:solidFill>
                  <a:srgbClr val="002060"/>
                </a:solidFill>
                <a:latin typeface="Bahnschrift" panose="020B0502040204020203" pitchFamily="34" charset="0"/>
                <a:ea typeface="Calibri"/>
                <a:cs typeface="Calibri"/>
              </a:rPr>
              <a:pPr algn="ctr"/>
              <a:t>27</a:t>
            </a:fld>
            <a:endParaRPr lang="pt-BR" sz="4800" b="1">
              <a:solidFill>
                <a:srgbClr val="002060"/>
              </a:solidFill>
              <a:latin typeface="Bahnschrift" panose="020B0502040204020203" pitchFamily="34" charset="0"/>
            </a:endParaRPr>
          </a:p>
        </xdr:txBody>
      </xdr:sp>
      <xdr:sp macro="" textlink="">
        <xdr:nvSpPr>
          <xdr:cNvPr id="17" name="CaixaDeTexto 16">
            <a:extLst>
              <a:ext uri="{FF2B5EF4-FFF2-40B4-BE49-F238E27FC236}">
                <a16:creationId xmlns:a16="http://schemas.microsoft.com/office/drawing/2014/main" id="{00000000-0008-0000-0200-000011000000}"/>
              </a:ext>
            </a:extLst>
          </xdr:cNvPr>
          <xdr:cNvSpPr txBox="1"/>
        </xdr:nvSpPr>
        <xdr:spPr>
          <a:xfrm>
            <a:off x="9100709" y="3462999"/>
            <a:ext cx="4565650" cy="287076"/>
          </a:xfrm>
          <a:prstGeom prst="rect">
            <a:avLst/>
          </a:prstGeom>
          <a:noFill/>
          <a:ln w="9525" cmpd="sng">
            <a:solidFill>
              <a:srgbClr val="FFC8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800" b="1">
                <a:solidFill>
                  <a:schemeClr val="tx1">
                    <a:lumMod val="85000"/>
                    <a:lumOff val="15000"/>
                  </a:schemeClr>
                </a:solidFill>
                <a:latin typeface="Bahnschrift" panose="020B0502040204020203" pitchFamily="34" charset="0"/>
              </a:rPr>
              <a:t>INCIDENTES </a:t>
            </a:r>
            <a:r>
              <a:rPr lang="pt-BR" sz="1800" b="1" baseline="0">
                <a:solidFill>
                  <a:schemeClr val="tx1">
                    <a:lumMod val="85000"/>
                    <a:lumOff val="15000"/>
                  </a:schemeClr>
                </a:solidFill>
                <a:latin typeface="Bahnschrift" panose="020B0502040204020203" pitchFamily="34" charset="0"/>
              </a:rPr>
              <a:t>POR PROCESSO</a:t>
            </a:r>
            <a:endParaRPr lang="pt-BR" sz="1800" b="1">
              <a:solidFill>
                <a:schemeClr val="tx1">
                  <a:lumMod val="85000"/>
                  <a:lumOff val="15000"/>
                </a:schemeClr>
              </a:solidFill>
              <a:latin typeface="Bahnschrift" panose="020B0502040204020203" pitchFamily="34" charset="0"/>
            </a:endParaRPr>
          </a:p>
        </xdr:txBody>
      </xdr:sp>
    </xdr:grpSp>
    <xdr:clientData/>
  </xdr:twoCellAnchor>
  <xdr:twoCellAnchor>
    <xdr:from>
      <xdr:col>24</xdr:col>
      <xdr:colOff>123823</xdr:colOff>
      <xdr:row>19</xdr:row>
      <xdr:rowOff>86592</xdr:rowOff>
    </xdr:from>
    <xdr:to>
      <xdr:col>30</xdr:col>
      <xdr:colOff>531047</xdr:colOff>
      <xdr:row>38</xdr:row>
      <xdr:rowOff>1</xdr:rowOff>
    </xdr:to>
    <xdr:grpSp>
      <xdr:nvGrpSpPr>
        <xdr:cNvPr id="18" name="Agrupar 22">
          <a:extLst>
            <a:ext uri="{FF2B5EF4-FFF2-40B4-BE49-F238E27FC236}">
              <a16:creationId xmlns:a16="http://schemas.microsoft.com/office/drawing/2014/main" id="{00000000-0008-0000-0200-000012000000}"/>
            </a:ext>
          </a:extLst>
        </xdr:cNvPr>
        <xdr:cNvGrpSpPr/>
      </xdr:nvGrpSpPr>
      <xdr:grpSpPr>
        <a:xfrm>
          <a:off x="14131923" y="3413992"/>
          <a:ext cx="4064824" cy="3291609"/>
          <a:chOff x="13677900" y="3650921"/>
          <a:chExt cx="4043687" cy="3383262"/>
        </a:xfrm>
      </xdr:grpSpPr>
      <xdr:graphicFrame macro="">
        <xdr:nvGraphicFramePr>
          <xdr:cNvPr id="19" name="Gráfico 18">
            <a:extLst>
              <a:ext uri="{FF2B5EF4-FFF2-40B4-BE49-F238E27FC236}">
                <a16:creationId xmlns:a16="http://schemas.microsoft.com/office/drawing/2014/main" id="{00000000-0008-0000-0200-000013000000}"/>
              </a:ext>
            </a:extLst>
          </xdr:cNvPr>
          <xdr:cNvGraphicFramePr/>
        </xdr:nvGraphicFramePr>
        <xdr:xfrm>
          <a:off x="13677901" y="3933824"/>
          <a:ext cx="4043686" cy="310035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0" name="CaixaDeTexto 19">
            <a:extLst>
              <a:ext uri="{FF2B5EF4-FFF2-40B4-BE49-F238E27FC236}">
                <a16:creationId xmlns:a16="http://schemas.microsoft.com/office/drawing/2014/main" id="{00000000-0008-0000-0200-000014000000}"/>
              </a:ext>
            </a:extLst>
          </xdr:cNvPr>
          <xdr:cNvSpPr txBox="1"/>
        </xdr:nvSpPr>
        <xdr:spPr>
          <a:xfrm>
            <a:off x="13677900" y="3650921"/>
            <a:ext cx="4032185" cy="281938"/>
          </a:xfrm>
          <a:prstGeom prst="rect">
            <a:avLst/>
          </a:prstGeom>
          <a:noFill/>
          <a:ln w="9525" cmpd="sng">
            <a:solidFill>
              <a:srgbClr val="FFC8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800" b="1">
                <a:solidFill>
                  <a:schemeClr val="tx1">
                    <a:lumMod val="85000"/>
                    <a:lumOff val="15000"/>
                  </a:schemeClr>
                </a:solidFill>
                <a:latin typeface="Bahnschrift" panose="020B0502040204020203" pitchFamily="34" charset="0"/>
              </a:rPr>
              <a:t>INCIDENTES </a:t>
            </a:r>
            <a:r>
              <a:rPr lang="pt-BR" sz="1800" b="1" baseline="0">
                <a:solidFill>
                  <a:schemeClr val="tx1">
                    <a:lumMod val="85000"/>
                    <a:lumOff val="15000"/>
                  </a:schemeClr>
                </a:solidFill>
                <a:latin typeface="Bahnschrift" panose="020B0502040204020203" pitchFamily="34" charset="0"/>
              </a:rPr>
              <a:t>POR EQUIPE</a:t>
            </a:r>
            <a:endParaRPr lang="pt-BR" sz="1800" b="1">
              <a:solidFill>
                <a:schemeClr val="tx1">
                  <a:lumMod val="85000"/>
                  <a:lumOff val="15000"/>
                </a:schemeClr>
              </a:solidFill>
              <a:latin typeface="Bahnschrift" panose="020B0502040204020203" pitchFamily="34" charset="0"/>
            </a:endParaRPr>
          </a:p>
        </xdr:txBody>
      </xdr:sp>
    </xdr:grpSp>
    <xdr:clientData/>
  </xdr:twoCellAnchor>
  <xdr:twoCellAnchor editAs="oneCell">
    <xdr:from>
      <xdr:col>23</xdr:col>
      <xdr:colOff>38100</xdr:colOff>
      <xdr:row>3</xdr:row>
      <xdr:rowOff>6804</xdr:rowOff>
    </xdr:from>
    <xdr:to>
      <xdr:col>25</xdr:col>
      <xdr:colOff>435430</xdr:colOff>
      <xdr:row>10</xdr:row>
      <xdr:rowOff>74840</xdr:rowOff>
    </xdr:to>
    <mc:AlternateContent xmlns:mc="http://schemas.openxmlformats.org/markup-compatibility/2006" xmlns:a14="http://schemas.microsoft.com/office/drawing/2010/main">
      <mc:Choice Requires="a14">
        <xdr:graphicFrame macro="">
          <xdr:nvGraphicFramePr>
            <xdr:cNvPr id="21" name="PROCESSO 1">
              <a:extLst>
                <a:ext uri="{FF2B5EF4-FFF2-40B4-BE49-F238E27FC236}">
                  <a16:creationId xmlns:a16="http://schemas.microsoft.com/office/drawing/2014/main" id="{00000000-0008-0000-0200-000015000000}"/>
                </a:ext>
              </a:extLst>
            </xdr:cNvPr>
            <xdr:cNvGraphicFramePr/>
          </xdr:nvGraphicFramePr>
          <xdr:xfrm>
            <a:off x="0" y="0"/>
            <a:ext cx="0" cy="0"/>
          </xdr:xfrm>
          <a:graphic>
            <a:graphicData uri="http://schemas.microsoft.com/office/drawing/2010/slicer">
              <sle:slicer xmlns:sle="http://schemas.microsoft.com/office/drawing/2010/slicer" name="PROCESSO 1"/>
            </a:graphicData>
          </a:graphic>
        </xdr:graphicFrame>
      </mc:Choice>
      <mc:Fallback xmlns="">
        <xdr:sp macro="" textlink="">
          <xdr:nvSpPr>
            <xdr:cNvPr id="0" name=""/>
            <xdr:cNvSpPr>
              <a:spLocks noTextEdit="1"/>
            </xdr:cNvSpPr>
          </xdr:nvSpPr>
          <xdr:spPr>
            <a:xfrm>
              <a:off x="12937671" y="496661"/>
              <a:ext cx="1621972" cy="1401536"/>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25</xdr:col>
      <xdr:colOff>455642</xdr:colOff>
      <xdr:row>3</xdr:row>
      <xdr:rowOff>5196</xdr:rowOff>
    </xdr:from>
    <xdr:to>
      <xdr:col>30</xdr:col>
      <xdr:colOff>517073</xdr:colOff>
      <xdr:row>10</xdr:row>
      <xdr:rowOff>76448</xdr:rowOff>
    </xdr:to>
    <mc:AlternateContent xmlns:mc="http://schemas.openxmlformats.org/markup-compatibility/2006" xmlns:a14="http://schemas.microsoft.com/office/drawing/2010/main">
      <mc:Choice Requires="a14">
        <xdr:graphicFrame macro="">
          <xdr:nvGraphicFramePr>
            <xdr:cNvPr id="22" name="TIPO 1">
              <a:extLst>
                <a:ext uri="{FF2B5EF4-FFF2-40B4-BE49-F238E27FC236}">
                  <a16:creationId xmlns:a16="http://schemas.microsoft.com/office/drawing/2014/main" id="{00000000-0008-0000-0200-000016000000}"/>
                </a:ext>
              </a:extLst>
            </xdr:cNvPr>
            <xdr:cNvGraphicFramePr/>
          </xdr:nvGraphicFramePr>
          <xdr:xfrm>
            <a:off x="0" y="0"/>
            <a:ext cx="0" cy="0"/>
          </xdr:xfrm>
          <a:graphic>
            <a:graphicData uri="http://schemas.microsoft.com/office/drawing/2010/slicer">
              <sle:slicer xmlns:sle="http://schemas.microsoft.com/office/drawing/2010/slicer" name="TIPO 1"/>
            </a:graphicData>
          </a:graphic>
        </xdr:graphicFrame>
      </mc:Choice>
      <mc:Fallback xmlns="">
        <xdr:sp macro="" textlink="">
          <xdr:nvSpPr>
            <xdr:cNvPr id="0" name=""/>
            <xdr:cNvSpPr>
              <a:spLocks noTextEdit="1"/>
            </xdr:cNvSpPr>
          </xdr:nvSpPr>
          <xdr:spPr>
            <a:xfrm>
              <a:off x="14579855" y="495053"/>
              <a:ext cx="3287561" cy="1404752"/>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xdr:from>
      <xdr:col>23</xdr:col>
      <xdr:colOff>38100</xdr:colOff>
      <xdr:row>1</xdr:row>
      <xdr:rowOff>0</xdr:rowOff>
    </xdr:from>
    <xdr:to>
      <xdr:col>30</xdr:col>
      <xdr:colOff>502227</xdr:colOff>
      <xdr:row>2</xdr:row>
      <xdr:rowOff>17318</xdr:rowOff>
    </xdr:to>
    <xdr:sp macro="" textlink="">
      <xdr:nvSpPr>
        <xdr:cNvPr id="23" name="CaixaDeTexto 22">
          <a:extLst>
            <a:ext uri="{FF2B5EF4-FFF2-40B4-BE49-F238E27FC236}">
              <a16:creationId xmlns:a16="http://schemas.microsoft.com/office/drawing/2014/main" id="{00000000-0008-0000-0200-000017000000}"/>
            </a:ext>
          </a:extLst>
        </xdr:cNvPr>
        <xdr:cNvSpPr txBox="1"/>
      </xdr:nvSpPr>
      <xdr:spPr>
        <a:xfrm>
          <a:off x="12801600" y="34636"/>
          <a:ext cx="4707082" cy="381000"/>
        </a:xfrm>
        <a:prstGeom prst="rect">
          <a:avLst/>
        </a:prstGeom>
        <a:noFill/>
        <a:ln w="19050"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b="1">
              <a:solidFill>
                <a:schemeClr val="accent5">
                  <a:lumMod val="50000"/>
                </a:schemeClr>
              </a:solidFill>
              <a:latin typeface="Bahnschrift" panose="020B0502040204020203" pitchFamily="34" charset="0"/>
            </a:rPr>
            <a:t>PARÂMETROS DO RELATÓRIO</a:t>
          </a:r>
        </a:p>
      </xdr:txBody>
    </xdr:sp>
    <xdr:clientData/>
  </xdr:twoCellAnchor>
  <xdr:twoCellAnchor editAs="oneCell">
    <xdr:from>
      <xdr:col>23</xdr:col>
      <xdr:colOff>39832</xdr:colOff>
      <xdr:row>10</xdr:row>
      <xdr:rowOff>81643</xdr:rowOff>
    </xdr:from>
    <xdr:to>
      <xdr:col>25</xdr:col>
      <xdr:colOff>435430</xdr:colOff>
      <xdr:row>19</xdr:row>
      <xdr:rowOff>69272</xdr:rowOff>
    </xdr:to>
    <mc:AlternateContent xmlns:mc="http://schemas.openxmlformats.org/markup-compatibility/2006" xmlns:a14="http://schemas.microsoft.com/office/drawing/2010/main">
      <mc:Choice Requires="a14">
        <xdr:graphicFrame macro="">
          <xdr:nvGraphicFramePr>
            <xdr:cNvPr id="24" name="BASE 1">
              <a:extLst>
                <a:ext uri="{FF2B5EF4-FFF2-40B4-BE49-F238E27FC236}">
                  <a16:creationId xmlns:a16="http://schemas.microsoft.com/office/drawing/2014/main" id="{00000000-0008-0000-0200-000018000000}"/>
                </a:ext>
              </a:extLst>
            </xdr:cNvPr>
            <xdr:cNvGraphicFramePr/>
          </xdr:nvGraphicFramePr>
          <xdr:xfrm>
            <a:off x="0" y="0"/>
            <a:ext cx="0" cy="0"/>
          </xdr:xfrm>
          <a:graphic>
            <a:graphicData uri="http://schemas.microsoft.com/office/drawing/2010/slicer">
              <sle:slicer xmlns:sle="http://schemas.microsoft.com/office/drawing/2010/slicer" name="BASE 1"/>
            </a:graphicData>
          </a:graphic>
        </xdr:graphicFrame>
      </mc:Choice>
      <mc:Fallback xmlns="">
        <xdr:sp macro="" textlink="">
          <xdr:nvSpPr>
            <xdr:cNvPr id="0" name=""/>
            <xdr:cNvSpPr>
              <a:spLocks noTextEdit="1"/>
            </xdr:cNvSpPr>
          </xdr:nvSpPr>
          <xdr:spPr>
            <a:xfrm>
              <a:off x="12939403" y="1905000"/>
              <a:ext cx="1620240" cy="1702129"/>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25</xdr:col>
      <xdr:colOff>459921</xdr:colOff>
      <xdr:row>10</xdr:row>
      <xdr:rowOff>80283</xdr:rowOff>
    </xdr:from>
    <xdr:to>
      <xdr:col>30</xdr:col>
      <xdr:colOff>517072</xdr:colOff>
      <xdr:row>19</xdr:row>
      <xdr:rowOff>68583</xdr:rowOff>
    </xdr:to>
    <mc:AlternateContent xmlns:mc="http://schemas.openxmlformats.org/markup-compatibility/2006" xmlns:a14="http://schemas.microsoft.com/office/drawing/2010/main">
      <mc:Choice Requires="a14">
        <xdr:graphicFrame macro="">
          <xdr:nvGraphicFramePr>
            <xdr:cNvPr id="25" name="MÊS">
              <a:extLst>
                <a:ext uri="{FF2B5EF4-FFF2-40B4-BE49-F238E27FC236}">
                  <a16:creationId xmlns:a16="http://schemas.microsoft.com/office/drawing/2014/main" id="{00000000-0008-0000-0200-000019000000}"/>
                </a:ext>
              </a:extLst>
            </xdr:cNvPr>
            <xdr:cNvGraphicFramePr/>
          </xdr:nvGraphicFramePr>
          <xdr:xfrm>
            <a:off x="0" y="0"/>
            <a:ext cx="0" cy="0"/>
          </xdr:xfrm>
          <a:graphic>
            <a:graphicData uri="http://schemas.microsoft.com/office/drawing/2010/slicer">
              <sle:slicer xmlns:sle="http://schemas.microsoft.com/office/drawing/2010/slicer" name="MÊS"/>
            </a:graphicData>
          </a:graphic>
        </xdr:graphicFrame>
      </mc:Choice>
      <mc:Fallback xmlns="">
        <xdr:sp macro="" textlink="">
          <xdr:nvSpPr>
            <xdr:cNvPr id="0" name=""/>
            <xdr:cNvSpPr>
              <a:spLocks noTextEdit="1"/>
            </xdr:cNvSpPr>
          </xdr:nvSpPr>
          <xdr:spPr>
            <a:xfrm>
              <a:off x="14435694" y="1881374"/>
              <a:ext cx="3087833" cy="17028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2</xdr:col>
      <xdr:colOff>176894</xdr:colOff>
      <xdr:row>0</xdr:row>
      <xdr:rowOff>0</xdr:rowOff>
    </xdr:from>
    <xdr:to>
      <xdr:col>5</xdr:col>
      <xdr:colOff>332468</xdr:colOff>
      <xdr:row>4</xdr:row>
      <xdr:rowOff>109637</xdr:rowOff>
    </xdr:to>
    <xdr:pic>
      <xdr:nvPicPr>
        <xdr:cNvPr id="26" name="Imagem 25">
          <a:extLst>
            <a:ext uri="{FF2B5EF4-FFF2-40B4-BE49-F238E27FC236}">
              <a16:creationId xmlns:a16="http://schemas.microsoft.com/office/drawing/2014/main" id="{00000000-0008-0000-0200-00001A000000}"/>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31234" b="65365" l="13369" r="81373">
                      <a14:foregroundMark x1="41979" y1="46977" x2="41979" y2="46977"/>
                      <a14:foregroundMark x1="52585" y1="46977" x2="52585" y2="46977"/>
                      <a14:foregroundMark x1="64884" y1="46977" x2="64884" y2="46977"/>
                      <a14:foregroundMark x1="70766" y1="43955" x2="70766" y2="49370"/>
                      <a14:foregroundMark x1="55971" y1="43451" x2="59715" y2="43451"/>
                      <a14:foregroundMark x1="44474" y1="42191" x2="47059" y2="42191"/>
                      <a14:backgroundMark x1="31818" y1="48866" x2="31818" y2="48866"/>
                    </a14:backgroundRemoval>
                  </a14:imgEffect>
                </a14:imgLayer>
              </a14:imgProps>
            </a:ext>
            <a:ext uri="{28A0092B-C50C-407E-A947-70E740481C1C}">
              <a14:useLocalDpi xmlns:a14="http://schemas.microsoft.com/office/drawing/2010/main" val="0"/>
            </a:ext>
          </a:extLst>
        </a:blip>
        <a:srcRect l="21181" t="30384" r="17093" b="35000"/>
        <a:stretch/>
      </xdr:blipFill>
      <xdr:spPr>
        <a:xfrm>
          <a:off x="217715" y="0"/>
          <a:ext cx="1992539" cy="789994"/>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0.31798</cdr:x>
      <cdr:y>0</cdr:y>
    </cdr:from>
    <cdr:to>
      <cdr:x>0.69237</cdr:x>
      <cdr:y>0.182</cdr:y>
    </cdr:to>
    <cdr:pic>
      <cdr:nvPicPr>
        <cdr:cNvPr id="2" name="chart">
          <a:extLst xmlns:a="http://schemas.openxmlformats.org/drawingml/2006/main">
            <a:ext uri="{FF2B5EF4-FFF2-40B4-BE49-F238E27FC236}">
              <a16:creationId xmlns:a16="http://schemas.microsoft.com/office/drawing/2014/main" id="{E094F731-002A-4A07-2CB2-E495175E367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4095750" y="0"/>
          <a:ext cx="4822354" cy="493819"/>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15</xdr:col>
      <xdr:colOff>185944</xdr:colOff>
      <xdr:row>2</xdr:row>
      <xdr:rowOff>115957</xdr:rowOff>
    </xdr:from>
    <xdr:to>
      <xdr:col>17</xdr:col>
      <xdr:colOff>289891</xdr:colOff>
      <xdr:row>6</xdr:row>
      <xdr:rowOff>82012</xdr:rowOff>
    </xdr:to>
    <xdr:sp macro="" textlink="">
      <xdr:nvSpPr>
        <xdr:cNvPr id="2" name="CaixaDeTexto 1">
          <a:extLst>
            <a:ext uri="{FF2B5EF4-FFF2-40B4-BE49-F238E27FC236}">
              <a16:creationId xmlns:a16="http://schemas.microsoft.com/office/drawing/2014/main" id="{00000000-0008-0000-0300-000002000000}"/>
            </a:ext>
          </a:extLst>
        </xdr:cNvPr>
        <xdr:cNvSpPr txBox="1"/>
      </xdr:nvSpPr>
      <xdr:spPr>
        <a:xfrm>
          <a:off x="12063619" y="344557"/>
          <a:ext cx="2027997" cy="728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b="1">
              <a:solidFill>
                <a:sysClr val="windowText" lastClr="000000"/>
              </a:solidFill>
              <a:latin typeface="Bahnschrift" panose="020B0502040204020203" pitchFamily="34" charset="0"/>
            </a:rPr>
            <a:t>COMUNICAÇÃO</a:t>
          </a:r>
          <a:r>
            <a:rPr lang="pt-BR" sz="1400" b="1" baseline="0">
              <a:solidFill>
                <a:sysClr val="windowText" lastClr="000000"/>
              </a:solidFill>
              <a:latin typeface="Bahnschrift" panose="020B0502040204020203" pitchFamily="34" charset="0"/>
            </a:rPr>
            <a:t> IMEDIATA</a:t>
          </a:r>
          <a:endParaRPr lang="pt-BR" sz="1400" b="1">
            <a:solidFill>
              <a:sysClr val="windowText" lastClr="000000"/>
            </a:solidFill>
            <a:latin typeface="Bahnschrift" panose="020B0502040204020203" pitchFamily="34" charset="0"/>
          </a:endParaRPr>
        </a:p>
      </xdr:txBody>
    </xdr:sp>
    <xdr:clientData/>
  </xdr:twoCellAnchor>
  <xdr:twoCellAnchor>
    <xdr:from>
      <xdr:col>18</xdr:col>
      <xdr:colOff>602858</xdr:colOff>
      <xdr:row>2</xdr:row>
      <xdr:rowOff>118321</xdr:rowOff>
    </xdr:from>
    <xdr:to>
      <xdr:col>21</xdr:col>
      <xdr:colOff>727687</xdr:colOff>
      <xdr:row>6</xdr:row>
      <xdr:rowOff>76908</xdr:rowOff>
    </xdr:to>
    <xdr:sp macro="" textlink="">
      <xdr:nvSpPr>
        <xdr:cNvPr id="4" name="CaixaDeTexto 3">
          <a:extLst>
            <a:ext uri="{FF2B5EF4-FFF2-40B4-BE49-F238E27FC236}">
              <a16:creationId xmlns:a16="http://schemas.microsoft.com/office/drawing/2014/main" id="{00000000-0008-0000-0300-000004000000}"/>
            </a:ext>
          </a:extLst>
        </xdr:cNvPr>
        <xdr:cNvSpPr txBox="1"/>
      </xdr:nvSpPr>
      <xdr:spPr>
        <a:xfrm>
          <a:off x="15312179" y="349642"/>
          <a:ext cx="2982329" cy="720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b="1">
              <a:solidFill>
                <a:sysClr val="windowText" lastClr="000000"/>
              </a:solidFill>
              <a:latin typeface="Bahnschrift" panose="020B0502040204020203" pitchFamily="34" charset="0"/>
              <a:ea typeface="+mn-ea"/>
              <a:cs typeface="+mn-cs"/>
            </a:rPr>
            <a:t>CONVOCAÇÃO DE </a:t>
          </a:r>
        </a:p>
        <a:p>
          <a:pPr marL="0" indent="0" algn="ctr"/>
          <a:r>
            <a:rPr lang="pt-BR" sz="1400" b="1">
              <a:solidFill>
                <a:sysClr val="windowText" lastClr="000000"/>
              </a:solidFill>
              <a:latin typeface="Bahnschrift" panose="020B0502040204020203" pitchFamily="34" charset="0"/>
              <a:ea typeface="+mn-ea"/>
              <a:cs typeface="+mn-cs"/>
            </a:rPr>
            <a:t>COMITÊ DE INVESTIGAÇÃO</a:t>
          </a:r>
        </a:p>
      </xdr:txBody>
    </xdr:sp>
    <xdr:clientData/>
  </xdr:twoCellAnchor>
  <xdr:twoCellAnchor>
    <xdr:from>
      <xdr:col>22</xdr:col>
      <xdr:colOff>675035</xdr:colOff>
      <xdr:row>2</xdr:row>
      <xdr:rowOff>99391</xdr:rowOff>
    </xdr:from>
    <xdr:to>
      <xdr:col>26</xdr:col>
      <xdr:colOff>66261</xdr:colOff>
      <xdr:row>6</xdr:row>
      <xdr:rowOff>99391</xdr:rowOff>
    </xdr:to>
    <xdr:sp macro="" textlink="">
      <xdr:nvSpPr>
        <xdr:cNvPr id="5" name="CaixaDeTexto 4">
          <a:extLst>
            <a:ext uri="{FF2B5EF4-FFF2-40B4-BE49-F238E27FC236}">
              <a16:creationId xmlns:a16="http://schemas.microsoft.com/office/drawing/2014/main" id="{00000000-0008-0000-0300-000005000000}"/>
            </a:ext>
          </a:extLst>
        </xdr:cNvPr>
        <xdr:cNvSpPr txBox="1"/>
      </xdr:nvSpPr>
      <xdr:spPr>
        <a:xfrm>
          <a:off x="23134985" y="327991"/>
          <a:ext cx="316312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b="1">
              <a:solidFill>
                <a:sysClr val="windowText" lastClr="000000"/>
              </a:solidFill>
              <a:latin typeface="Bahnschrift" panose="020B0502040204020203" pitchFamily="34" charset="0"/>
              <a:ea typeface="+mn-ea"/>
              <a:cs typeface="+mn-cs"/>
            </a:rPr>
            <a:t>GERAR E EMITIR INVESTIGAÇÃO</a:t>
          </a:r>
        </a:p>
        <a:p>
          <a:pPr marL="0" indent="0" algn="ctr"/>
          <a:r>
            <a:rPr lang="pt-BR" sz="1400" b="1">
              <a:solidFill>
                <a:sysClr val="windowText" lastClr="000000"/>
              </a:solidFill>
              <a:latin typeface="Bahnschrift" panose="020B0502040204020203" pitchFamily="34" charset="0"/>
              <a:ea typeface="+mn-ea"/>
              <a:cs typeface="+mn-cs"/>
            </a:rPr>
            <a:t> DE INCIDENTE/ACIDENTE</a:t>
          </a:r>
        </a:p>
      </xdr:txBody>
    </xdr:sp>
    <xdr:clientData/>
  </xdr:twoCellAnchor>
  <xdr:twoCellAnchor>
    <xdr:from>
      <xdr:col>26</xdr:col>
      <xdr:colOff>641904</xdr:colOff>
      <xdr:row>2</xdr:row>
      <xdr:rowOff>74544</xdr:rowOff>
    </xdr:from>
    <xdr:to>
      <xdr:col>30</xdr:col>
      <xdr:colOff>0</xdr:colOff>
      <xdr:row>6</xdr:row>
      <xdr:rowOff>132522</xdr:rowOff>
    </xdr:to>
    <xdr:sp macro="" textlink="">
      <xdr:nvSpPr>
        <xdr:cNvPr id="6" name="CaixaDeTexto 5">
          <a:extLst>
            <a:ext uri="{FF2B5EF4-FFF2-40B4-BE49-F238E27FC236}">
              <a16:creationId xmlns:a16="http://schemas.microsoft.com/office/drawing/2014/main" id="{00000000-0008-0000-0300-000006000000}"/>
            </a:ext>
          </a:extLst>
        </xdr:cNvPr>
        <xdr:cNvSpPr txBox="1"/>
      </xdr:nvSpPr>
      <xdr:spPr>
        <a:xfrm>
          <a:off x="26873754" y="303144"/>
          <a:ext cx="3155314" cy="819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b="1">
              <a:solidFill>
                <a:sysClr val="windowText" lastClr="000000"/>
              </a:solidFill>
              <a:latin typeface="Bahnschrift" panose="020B0502040204020203" pitchFamily="34" charset="0"/>
              <a:ea typeface="+mn-ea"/>
              <a:cs typeface="+mn-cs"/>
            </a:rPr>
            <a:t>VALIDAÇÃO DE RELATÓRIO DE INVESTIGAÇÃO</a:t>
          </a:r>
        </a:p>
      </xdr:txBody>
    </xdr:sp>
    <xdr:clientData/>
  </xdr:twoCellAnchor>
  <xdr:twoCellAnchor>
    <xdr:from>
      <xdr:col>30</xdr:col>
      <xdr:colOff>802822</xdr:colOff>
      <xdr:row>2</xdr:row>
      <xdr:rowOff>174527</xdr:rowOff>
    </xdr:from>
    <xdr:to>
      <xdr:col>30</xdr:col>
      <xdr:colOff>2871107</xdr:colOff>
      <xdr:row>5</xdr:row>
      <xdr:rowOff>181995</xdr:rowOff>
    </xdr:to>
    <xdr:sp macro="" textlink="">
      <xdr:nvSpPr>
        <xdr:cNvPr id="8" name="CaixaDeTexto 7">
          <a:extLst>
            <a:ext uri="{FF2B5EF4-FFF2-40B4-BE49-F238E27FC236}">
              <a16:creationId xmlns:a16="http://schemas.microsoft.com/office/drawing/2014/main" id="{00000000-0008-0000-0300-000008000000}"/>
            </a:ext>
          </a:extLst>
        </xdr:cNvPr>
        <xdr:cNvSpPr txBox="1"/>
      </xdr:nvSpPr>
      <xdr:spPr>
        <a:xfrm>
          <a:off x="26860501" y="405848"/>
          <a:ext cx="2068285" cy="578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b="1">
              <a:solidFill>
                <a:sysClr val="windowText" lastClr="000000"/>
              </a:solidFill>
              <a:latin typeface="Bahnschrift" panose="020B0502040204020203" pitchFamily="34" charset="0"/>
              <a:ea typeface="+mn-ea"/>
              <a:cs typeface="+mn-cs"/>
            </a:rPr>
            <a:t>IMPLEMENTAR AÇÕES </a:t>
          </a:r>
        </a:p>
        <a:p>
          <a:pPr marL="0" indent="0" algn="ctr"/>
          <a:r>
            <a:rPr lang="pt-BR" sz="1400" b="1">
              <a:solidFill>
                <a:sysClr val="windowText" lastClr="000000"/>
              </a:solidFill>
              <a:latin typeface="Bahnschrift" panose="020B0502040204020203" pitchFamily="34" charset="0"/>
              <a:ea typeface="+mn-ea"/>
              <a:cs typeface="+mn-cs"/>
            </a:rPr>
            <a:t>DEFINIDAS NO PLANO DE AÇÃO</a:t>
          </a:r>
        </a:p>
      </xdr:txBody>
    </xdr:sp>
    <xdr:clientData/>
  </xdr:twoCellAnchor>
  <xdr:twoCellAnchor editAs="oneCell">
    <xdr:from>
      <xdr:col>14</xdr:col>
      <xdr:colOff>150862</xdr:colOff>
      <xdr:row>1</xdr:row>
      <xdr:rowOff>107674</xdr:rowOff>
    </xdr:from>
    <xdr:to>
      <xdr:col>15</xdr:col>
      <xdr:colOff>41413</xdr:colOff>
      <xdr:row>6</xdr:row>
      <xdr:rowOff>172011</xdr:rowOff>
    </xdr:to>
    <xdr:pic>
      <xdr:nvPicPr>
        <xdr:cNvPr id="11" name="Imagem 10">
          <a:extLst>
            <a:ext uri="{FF2B5EF4-FFF2-40B4-BE49-F238E27FC236}">
              <a16:creationId xmlns:a16="http://schemas.microsoft.com/office/drawing/2014/main" id="{00000000-0008-0000-0300-00000B000000}"/>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6633" b="82551" l="25918" r="73367">
                      <a14:foregroundMark x1="51327" y1="34388" x2="51327" y2="34388"/>
                      <a14:foregroundMark x1="52347" y1="49898" x2="52347" y2="49898"/>
                      <a14:foregroundMark x1="51633" y1="66633" x2="51633" y2="66633"/>
                    </a14:backgroundRemoval>
                  </a14:imgEffect>
                </a14:imgLayer>
              </a14:imgProps>
            </a:ext>
          </a:extLst>
        </a:blip>
        <a:srcRect l="26965" t="16654" r="26786" b="16996"/>
        <a:stretch/>
      </xdr:blipFill>
      <xdr:spPr>
        <a:xfrm>
          <a:off x="11190337" y="145774"/>
          <a:ext cx="728751" cy="1016837"/>
        </a:xfrm>
        <a:prstGeom prst="rect">
          <a:avLst/>
        </a:prstGeom>
      </xdr:spPr>
    </xdr:pic>
    <xdr:clientData/>
  </xdr:twoCellAnchor>
  <xdr:twoCellAnchor editAs="oneCell">
    <xdr:from>
      <xdr:col>18</xdr:col>
      <xdr:colOff>0</xdr:colOff>
      <xdr:row>1</xdr:row>
      <xdr:rowOff>107674</xdr:rowOff>
    </xdr:from>
    <xdr:to>
      <xdr:col>18</xdr:col>
      <xdr:colOff>728278</xdr:colOff>
      <xdr:row>6</xdr:row>
      <xdr:rowOff>172011</xdr:rowOff>
    </xdr:to>
    <xdr:pic>
      <xdr:nvPicPr>
        <xdr:cNvPr id="12" name="Imagem 11">
          <a:extLst>
            <a:ext uri="{FF2B5EF4-FFF2-40B4-BE49-F238E27FC236}">
              <a16:creationId xmlns:a16="http://schemas.microsoft.com/office/drawing/2014/main" id="{00000000-0008-0000-0300-00000C000000}"/>
            </a:ext>
          </a:extLst>
        </xdr:cNvPr>
        <xdr:cNvPicPr>
          <a:picLocks noChangeAspect="1"/>
        </xdr:cNvPicPr>
      </xdr:nvPicPr>
      <xdr:blipFill rotWithShape="1">
        <a:blip xmlns:r="http://schemas.openxmlformats.org/officeDocument/2006/relationships" r:embed="rId1"/>
        <a:srcRect l="26965" t="16654" r="26786" b="16996"/>
        <a:stretch/>
      </xdr:blipFill>
      <xdr:spPr>
        <a:xfrm>
          <a:off x="14934078" y="145774"/>
          <a:ext cx="724195" cy="1016837"/>
        </a:xfrm>
        <a:prstGeom prst="rect">
          <a:avLst/>
        </a:prstGeom>
      </xdr:spPr>
    </xdr:pic>
    <xdr:clientData/>
  </xdr:twoCellAnchor>
  <xdr:twoCellAnchor editAs="oneCell">
    <xdr:from>
      <xdr:col>22</xdr:col>
      <xdr:colOff>57978</xdr:colOff>
      <xdr:row>1</xdr:row>
      <xdr:rowOff>107674</xdr:rowOff>
    </xdr:from>
    <xdr:to>
      <xdr:col>22</xdr:col>
      <xdr:colOff>785072</xdr:colOff>
      <xdr:row>6</xdr:row>
      <xdr:rowOff>172011</xdr:rowOff>
    </xdr:to>
    <xdr:pic>
      <xdr:nvPicPr>
        <xdr:cNvPr id="14" name="Imagem 13">
          <a:extLst>
            <a:ext uri="{FF2B5EF4-FFF2-40B4-BE49-F238E27FC236}">
              <a16:creationId xmlns:a16="http://schemas.microsoft.com/office/drawing/2014/main" id="{00000000-0008-0000-0300-00000E000000}"/>
            </a:ext>
          </a:extLst>
        </xdr:cNvPr>
        <xdr:cNvPicPr>
          <a:picLocks noChangeAspect="1"/>
        </xdr:cNvPicPr>
      </xdr:nvPicPr>
      <xdr:blipFill rotWithShape="1">
        <a:blip xmlns:r="http://schemas.openxmlformats.org/officeDocument/2006/relationships" r:embed="rId1"/>
        <a:srcRect l="26965" t="16654" r="26786" b="16996"/>
        <a:stretch/>
      </xdr:blipFill>
      <xdr:spPr>
        <a:xfrm>
          <a:off x="22517928" y="145774"/>
          <a:ext cx="727094" cy="1016837"/>
        </a:xfrm>
        <a:prstGeom prst="rect">
          <a:avLst/>
        </a:prstGeom>
      </xdr:spPr>
    </xdr:pic>
    <xdr:clientData/>
  </xdr:twoCellAnchor>
  <xdr:twoCellAnchor editAs="oneCell">
    <xdr:from>
      <xdr:col>26</xdr:col>
      <xdr:colOff>8282</xdr:colOff>
      <xdr:row>1</xdr:row>
      <xdr:rowOff>107674</xdr:rowOff>
    </xdr:from>
    <xdr:to>
      <xdr:col>26</xdr:col>
      <xdr:colOff>735376</xdr:colOff>
      <xdr:row>6</xdr:row>
      <xdr:rowOff>172011</xdr:rowOff>
    </xdr:to>
    <xdr:pic>
      <xdr:nvPicPr>
        <xdr:cNvPr id="15" name="Imagem 14">
          <a:extLst>
            <a:ext uri="{FF2B5EF4-FFF2-40B4-BE49-F238E27FC236}">
              <a16:creationId xmlns:a16="http://schemas.microsoft.com/office/drawing/2014/main" id="{00000000-0008-0000-0300-00000F000000}"/>
            </a:ext>
          </a:extLst>
        </xdr:cNvPr>
        <xdr:cNvPicPr>
          <a:picLocks noChangeAspect="1"/>
        </xdr:cNvPicPr>
      </xdr:nvPicPr>
      <xdr:blipFill rotWithShape="1">
        <a:blip xmlns:r="http://schemas.openxmlformats.org/officeDocument/2006/relationships" r:embed="rId1"/>
        <a:srcRect l="26965" t="16654" r="26786" b="16996"/>
        <a:stretch/>
      </xdr:blipFill>
      <xdr:spPr>
        <a:xfrm>
          <a:off x="26240132" y="145774"/>
          <a:ext cx="727094" cy="1016837"/>
        </a:xfrm>
        <a:prstGeom prst="rect">
          <a:avLst/>
        </a:prstGeom>
      </xdr:spPr>
    </xdr:pic>
    <xdr:clientData/>
  </xdr:twoCellAnchor>
  <xdr:twoCellAnchor editAs="oneCell">
    <xdr:from>
      <xdr:col>30</xdr:col>
      <xdr:colOff>95250</xdr:colOff>
      <xdr:row>1</xdr:row>
      <xdr:rowOff>134888</xdr:rowOff>
    </xdr:from>
    <xdr:to>
      <xdr:col>30</xdr:col>
      <xdr:colOff>822344</xdr:colOff>
      <xdr:row>7</xdr:row>
      <xdr:rowOff>8725</xdr:rowOff>
    </xdr:to>
    <xdr:pic>
      <xdr:nvPicPr>
        <xdr:cNvPr id="16" name="Imagem 15">
          <a:extLst>
            <a:ext uri="{FF2B5EF4-FFF2-40B4-BE49-F238E27FC236}">
              <a16:creationId xmlns:a16="http://schemas.microsoft.com/office/drawing/2014/main" id="{00000000-0008-0000-0300-000010000000}"/>
            </a:ext>
          </a:extLst>
        </xdr:cNvPr>
        <xdr:cNvPicPr>
          <a:picLocks noChangeAspect="1"/>
        </xdr:cNvPicPr>
      </xdr:nvPicPr>
      <xdr:blipFill rotWithShape="1">
        <a:blip xmlns:r="http://schemas.openxmlformats.org/officeDocument/2006/relationships" r:embed="rId1"/>
        <a:srcRect l="26965" t="16654" r="26786" b="16996"/>
        <a:stretch/>
      </xdr:blipFill>
      <xdr:spPr>
        <a:xfrm>
          <a:off x="26152929" y="175709"/>
          <a:ext cx="727094" cy="1016837"/>
        </a:xfrm>
        <a:prstGeom prst="rect">
          <a:avLst/>
        </a:prstGeom>
      </xdr:spPr>
    </xdr:pic>
    <xdr:clientData/>
  </xdr:twoCellAnchor>
  <xdr:twoCellAnchor editAs="oneCell">
    <xdr:from>
      <xdr:col>3</xdr:col>
      <xdr:colOff>625930</xdr:colOff>
      <xdr:row>3</xdr:row>
      <xdr:rowOff>9264</xdr:rowOff>
    </xdr:from>
    <xdr:to>
      <xdr:col>3</xdr:col>
      <xdr:colOff>2054680</xdr:colOff>
      <xdr:row>6</xdr:row>
      <xdr:rowOff>949</xdr:rowOff>
    </xdr:to>
    <xdr:pic>
      <xdr:nvPicPr>
        <xdr:cNvPr id="13" name="Imagem 12" descr="Logotipo&#10;&#10;Descrição gerada automaticamente">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40430" y="431085"/>
          <a:ext cx="1428750" cy="563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179293</xdr:colOff>
      <xdr:row>3</xdr:row>
      <xdr:rowOff>0</xdr:rowOff>
    </xdr:from>
    <xdr:to>
      <xdr:col>3</xdr:col>
      <xdr:colOff>778808</xdr:colOff>
      <xdr:row>5</xdr:row>
      <xdr:rowOff>182185</xdr:rowOff>
    </xdr:to>
    <xdr:pic>
      <xdr:nvPicPr>
        <xdr:cNvPr id="3" name="Imagem 2" descr="Logotipo&#10;&#10;Descrição gerada automaticamente">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3764" y="414618"/>
          <a:ext cx="1428750" cy="563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slzsed01\Planejamento%20Financeiro\TEMP\Analise%20Diretas\Scorebook%202000.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CGB/AppData/Local/Microsoft/Windows/INetCache/Content.Outlook/XVA8ATYT/BALANCETES/Banco.xls" TargetMode="External"/><Relationship Id="rId1" Type="http://schemas.openxmlformats.org/officeDocument/2006/relationships/externalLinkPath" Target="/Users/CGB/AppData/Local/Microsoft/Windows/INetCache/Content.Outlook/XVA8ATYT/BALANCETES/Banc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slzsed01\Planejamento%20Financeiro\P&#250;blico\Mercado\Mercado%20CEAM\Bolet2001\Bolet2001_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slzsed01\Planejamento%20Financeiro\P&#250;blico\Mercado\Mercado%20CEAM\Bolet2001\Bolet2001_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ercado\d\MERCADO\1999\Fatmen99\Faturamento%20Mensal%20de%2019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EAM004\C\MERCADO\1995\MEN51206\FTJAN9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lzsed01\gre\P&#250;blico\Mercado\Mercado%20CEAM\Bolet2001\Bolet2001_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slzsed01\Planejamento%20Financeiro\Documents%20and%20Settings\u4599\Meus%20documentos\1%20-%20AFP\11%20-%20OR&#199;AMENTO\Receita\PROJ%20ANUAL%202004-C%204%204%202_M&#201;DIO%2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slzsed01\Planejamento%20Financeiro\Groups\Custos\IG1-%20Custos\Informa&#231;&#245;es%20Diretas%202001\Informa&#231;&#245;es%20Scorebook\Scorebook%2020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Banco.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cgbengenharia-my.sharepoint.com/personal/marcus_vinicius_cgbengenharia_onmicrosoft_com/Documents/&#193;rea%20de%20Trabalho/QSMS/Acidentes/Indicadores/Indicadores%20de%20Seguran&#231;a%20CGB%20-%202026.xls" TargetMode="External"/><Relationship Id="rId1" Type="http://schemas.openxmlformats.org/officeDocument/2006/relationships/externalLinkPath" Target="Indicadores/Indicadores%20de%20Seguran&#231;a%20CGB%20-%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
      <sheetName val="R$_ton"/>
      <sheetName val="Produtiva Pó"/>
      <sheetName val="Serviços Pó"/>
      <sheetName val="Total Pó"/>
      <sheetName val="Produtiva Barra"/>
      <sheetName val="Serviços Barra"/>
      <sheetName val="Total Barra"/>
      <sheetName val="Graf Diretas"/>
      <sheetName val="Diretas1 (2)"/>
      <sheetName val="Diretas1"/>
      <sheetName val="Supply Support"/>
      <sheetName val="Buying Planning"/>
      <sheetName val="Distribution1"/>
      <sheetName val="Distribution"/>
      <sheetName val="Sales Overheads"/>
      <sheetName val="Adm Total"/>
      <sheetName val="Adm Pó"/>
      <sheetName val="Adm NSD Bar"/>
      <sheetName val="Análise Custos"/>
      <sheetName val="PG_Absoluto"/>
      <sheetName val="PG_Ton"/>
      <sheetName val="PG Total"/>
      <sheetName val="PG Quim"/>
      <sheetName val="PG Emba"/>
      <sheetName val="PG Perf"/>
      <sheetName val="Nivel de Estoque"/>
      <sheetName val="Nivel Obsoletos"/>
      <sheetName val="Var.Prod.Acabado"/>
      <sheetName val="Var PA Po"/>
      <sheetName val="Var PA Barra"/>
      <sheetName val="Ativo"/>
      <sheetName val="A"/>
      <sheetName val="Contratos"/>
      <sheetName val="Licenças"/>
      <sheetName val="Resumo "/>
      <sheetName val="Totais"/>
      <sheetName val="total ano"/>
      <sheetName val="Variacoes"/>
      <sheetName val="Cron. Financeiro TR"/>
      <sheetName val="MODULOS"/>
      <sheetName val="INDIECO1"/>
      <sheetName val="Produtiva_Pó"/>
      <sheetName val="Serviços_Pó"/>
      <sheetName val="Total_Pó"/>
      <sheetName val="Produtiva_Barra"/>
      <sheetName val="Serviços_Barra"/>
      <sheetName val="Total_Barra"/>
      <sheetName val="Graf_Diretas"/>
      <sheetName val="Diretas1_(2)"/>
      <sheetName val="Supply_Support"/>
      <sheetName val="Buying_Planning"/>
      <sheetName val="Sales_Overheads"/>
      <sheetName val="Adm_Total"/>
      <sheetName val="Adm_Pó"/>
      <sheetName val="Adm_NSD_Bar"/>
      <sheetName val="Análise_Custos"/>
      <sheetName val="PG_Total"/>
      <sheetName val="PG_Quim"/>
      <sheetName val="PG_Emba"/>
      <sheetName val="PG_Perf"/>
      <sheetName val="Nivel_de_Estoque"/>
      <sheetName val="Nivel_Obsoletos"/>
      <sheetName val="Var_Prod_Acabado"/>
      <sheetName val="Var_PA_Po"/>
      <sheetName val="Var_PA_Barra"/>
      <sheetName val="Resumo_"/>
      <sheetName val="total_ano"/>
      <sheetName val="Cron__Financeiro_TR"/>
      <sheetName val="Form09"/>
      <sheetName val="FTJAN95"/>
      <sheetName val="DRE Real"/>
      <sheetName val="TESTE"/>
      <sheetName val="ORÇAR SEs"/>
      <sheetName val="GDP"/>
      <sheetName val="EQTL PI 22"/>
      <sheetName val="2000"/>
      <sheetName val="Scorebook 2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9">
          <cell r="Q9" t="str">
            <v>Jul</v>
          </cell>
          <cell r="R9" t="str">
            <v>Ago/98</v>
          </cell>
          <cell r="S9" t="str">
            <v>Set/98</v>
          </cell>
          <cell r="T9" t="str">
            <v>Out/98</v>
          </cell>
          <cell r="U9">
            <v>36100</v>
          </cell>
          <cell r="V9" t="str">
            <v>Dez/98</v>
          </cell>
          <cell r="W9" t="str">
            <v>Jan/99</v>
          </cell>
        </row>
        <row r="10">
          <cell r="Q10">
            <v>2.5143156259389121E-2</v>
          </cell>
          <cell r="R10">
            <v>2.6900453289922962E-2</v>
          </cell>
          <cell r="S10">
            <v>3.5577570624347049E-2</v>
          </cell>
          <cell r="T10">
            <v>2.292360018854939E-2</v>
          </cell>
          <cell r="U10">
            <v>4.0683322160909259E-2</v>
          </cell>
          <cell r="V10">
            <v>2.2295596709708883E-2</v>
          </cell>
          <cell r="W10">
            <v>1.4913432064667149E-2</v>
          </cell>
        </row>
        <row r="11">
          <cell r="Q11">
            <v>-2.4779383232328743E-3</v>
          </cell>
          <cell r="R11">
            <v>-6.1799312528957337E-4</v>
          </cell>
          <cell r="S11">
            <v>0</v>
          </cell>
          <cell r="T11">
            <v>-1.6699036377099043E-3</v>
          </cell>
          <cell r="U11">
            <v>-1.4020133270115562E-2</v>
          </cell>
          <cell r="V11">
            <v>-5.1070499183804791E-3</v>
          </cell>
          <cell r="W11">
            <v>-5.260987113767261E-4</v>
          </cell>
        </row>
        <row r="12">
          <cell r="Q12">
            <v>2.2665217936156248E-2</v>
          </cell>
          <cell r="R12">
            <v>2.6282460164633387E-2</v>
          </cell>
          <cell r="S12">
            <v>3.5577570624347049E-2</v>
          </cell>
          <cell r="T12">
            <v>2.1253696550839488E-2</v>
          </cell>
          <cell r="U12">
            <v>2.6663188890793697E-2</v>
          </cell>
          <cell r="V12">
            <v>-5.1070499183804791E-3</v>
          </cell>
          <cell r="W12">
            <v>1.4387333353290423E-2</v>
          </cell>
        </row>
        <row r="13">
          <cell r="Q13">
            <v>0.01</v>
          </cell>
          <cell r="R13">
            <v>0.01</v>
          </cell>
          <cell r="S13">
            <v>0.01</v>
          </cell>
          <cell r="T13">
            <v>0.01</v>
          </cell>
          <cell r="U13">
            <v>0.01</v>
          </cell>
          <cell r="V13">
            <v>0.01</v>
          </cell>
          <cell r="W13">
            <v>0.01</v>
          </cell>
        </row>
        <row r="43">
          <cell r="Q43" t="str">
            <v>Jul</v>
          </cell>
          <cell r="R43" t="str">
            <v>Ago/98</v>
          </cell>
          <cell r="S43" t="str">
            <v>Set/98</v>
          </cell>
          <cell r="T43" t="str">
            <v>Out/98</v>
          </cell>
          <cell r="U43">
            <v>36100</v>
          </cell>
          <cell r="V43" t="str">
            <v>Dez/98</v>
          </cell>
          <cell r="W43" t="str">
            <v>Jan/99</v>
          </cell>
        </row>
        <row r="45">
          <cell r="Q45">
            <v>3.5673872953591125E-2</v>
          </cell>
          <cell r="R45">
            <v>2.0645664631029566E-2</v>
          </cell>
          <cell r="S45">
            <v>1.4388136718434036E-2</v>
          </cell>
          <cell r="T45">
            <v>3.871639592388286E-2</v>
          </cell>
          <cell r="U45">
            <v>0.17208162971935767</v>
          </cell>
          <cell r="V45">
            <v>8.1464847853950709E-2</v>
          </cell>
          <cell r="W45">
            <v>8.4840524601723054E-3</v>
          </cell>
        </row>
        <row r="46">
          <cell r="Q46">
            <v>-1.7125536414104529E-2</v>
          </cell>
          <cell r="R46">
            <v>0</v>
          </cell>
          <cell r="S46">
            <v>-0.17816560511066407</v>
          </cell>
          <cell r="T46">
            <v>-2.2407757558782747E-4</v>
          </cell>
          <cell r="U46">
            <v>-9.0944110964282475E-3</v>
          </cell>
          <cell r="V46">
            <v>-9.18465735557036E-4</v>
          </cell>
          <cell r="W46">
            <v>0</v>
          </cell>
        </row>
        <row r="47">
          <cell r="Q47">
            <v>1.85483365394866E-2</v>
          </cell>
          <cell r="R47">
            <v>2.0645664631029566E-2</v>
          </cell>
          <cell r="S47">
            <v>-0.16377746839223004</v>
          </cell>
          <cell r="T47">
            <v>3.8492318348295036E-2</v>
          </cell>
          <cell r="U47">
            <v>0.16298721862292942</v>
          </cell>
          <cell r="V47">
            <v>8.054638211839367E-2</v>
          </cell>
          <cell r="W47">
            <v>8.4840524601723054E-3</v>
          </cell>
        </row>
        <row r="48">
          <cell r="Q48">
            <v>0.01</v>
          </cell>
          <cell r="R48">
            <v>0.01</v>
          </cell>
          <cell r="S48">
            <v>0.01</v>
          </cell>
          <cell r="T48">
            <v>0.01</v>
          </cell>
          <cell r="U48">
            <v>0.01</v>
          </cell>
          <cell r="V48">
            <v>0.01</v>
          </cell>
          <cell r="W48">
            <v>0.01</v>
          </cell>
        </row>
        <row r="77">
          <cell r="Q77" t="str">
            <v>Jul</v>
          </cell>
          <cell r="R77" t="str">
            <v>Ago/98</v>
          </cell>
          <cell r="S77" t="str">
            <v>Set/98</v>
          </cell>
          <cell r="T77" t="str">
            <v>Out/98</v>
          </cell>
          <cell r="U77">
            <v>36100</v>
          </cell>
          <cell r="V77" t="str">
            <v>Dez/98</v>
          </cell>
          <cell r="W77" t="str">
            <v>Jan/99</v>
          </cell>
        </row>
        <row r="79">
          <cell r="Q79">
            <v>0.15009798469873811</v>
          </cell>
          <cell r="R79">
            <v>1.9293236385494815E-2</v>
          </cell>
          <cell r="S79">
            <v>5.7058799185239033E-2</v>
          </cell>
          <cell r="T79">
            <v>3.2025179502311395E-2</v>
          </cell>
          <cell r="U79">
            <v>9.4192152496910125E-2</v>
          </cell>
          <cell r="V79">
            <v>0.17227373311359648</v>
          </cell>
          <cell r="W79">
            <v>2.2900795555484323E-2</v>
          </cell>
        </row>
        <row r="80">
          <cell r="Q80">
            <v>0</v>
          </cell>
          <cell r="R80">
            <v>0</v>
          </cell>
          <cell r="S80">
            <v>0</v>
          </cell>
          <cell r="T80">
            <v>0</v>
          </cell>
          <cell r="U80">
            <v>0</v>
          </cell>
          <cell r="V80">
            <v>-2.8499428224668409E-2</v>
          </cell>
          <cell r="W80">
            <v>0</v>
          </cell>
        </row>
        <row r="81">
          <cell r="Q81">
            <v>0.15009798469873811</v>
          </cell>
          <cell r="R81">
            <v>1.9293236385494815E-2</v>
          </cell>
          <cell r="S81">
            <v>5.7058799185239033E-2</v>
          </cell>
          <cell r="T81">
            <v>3.2025179502311395E-2</v>
          </cell>
          <cell r="U81">
            <v>9.4192152496910125E-2</v>
          </cell>
          <cell r="V81">
            <v>0.14377430488892806</v>
          </cell>
          <cell r="W81">
            <v>2.2900795555484323E-2</v>
          </cell>
        </row>
        <row r="82">
          <cell r="Q82">
            <v>0.01</v>
          </cell>
          <cell r="R82">
            <v>0.01</v>
          </cell>
          <cell r="S82">
            <v>0.01</v>
          </cell>
          <cell r="T82">
            <v>0.01</v>
          </cell>
          <cell r="U82">
            <v>0.01</v>
          </cell>
          <cell r="V82">
            <v>0.01</v>
          </cell>
          <cell r="W82">
            <v>0.01</v>
          </cell>
        </row>
        <row r="112">
          <cell r="Q112" t="str">
            <v>Jul</v>
          </cell>
          <cell r="R112" t="str">
            <v>Ago/98</v>
          </cell>
          <cell r="S112" t="str">
            <v>Set/98</v>
          </cell>
          <cell r="T112" t="str">
            <v>Out/98</v>
          </cell>
          <cell r="U112">
            <v>36100</v>
          </cell>
          <cell r="V112" t="str">
            <v>Dez/98</v>
          </cell>
          <cell r="W112" t="str">
            <v>Jan/99</v>
          </cell>
        </row>
        <row r="114">
          <cell r="Q114">
            <v>3.5127884551407994E-2</v>
          </cell>
          <cell r="R114">
            <v>2.5486632255292591E-2</v>
          </cell>
          <cell r="S114">
            <v>3.4443065623235354E-2</v>
          </cell>
          <cell r="T114">
            <v>2.5775346354464278E-2</v>
          </cell>
          <cell r="U114">
            <v>6.2351283741964116E-2</v>
          </cell>
          <cell r="V114">
            <v>4.2735055079880492E-2</v>
          </cell>
          <cell r="W114">
            <v>1.47353763712916E-2</v>
          </cell>
        </row>
        <row r="115">
          <cell r="Q115">
            <v>-4.2037565902824387E-3</v>
          </cell>
          <cell r="R115">
            <v>-4.8859420840344464E-4</v>
          </cell>
          <cell r="S115">
            <v>-2.3466408828687842E-2</v>
          </cell>
          <cell r="T115">
            <v>-1.3371953498093462E-3</v>
          </cell>
          <cell r="U115">
            <v>-1.2178237268554737E-2</v>
          </cell>
          <cell r="V115">
            <v>-6.5904319315065974E-3</v>
          </cell>
          <cell r="W115">
            <v>-4.1249781072175254E-4</v>
          </cell>
        </row>
        <row r="116">
          <cell r="Q116">
            <v>3.0924127961125553E-2</v>
          </cell>
          <cell r="R116">
            <v>2.4998038046889142E-2</v>
          </cell>
          <cell r="S116">
            <v>1.0976656794547505E-2</v>
          </cell>
          <cell r="T116">
            <v>2.4438151004654931E-2</v>
          </cell>
          <cell r="U116">
            <v>5.0173046473409394E-2</v>
          </cell>
          <cell r="V116">
            <v>3.614462314837389E-2</v>
          </cell>
          <cell r="W116">
            <v>1.4322878560569845E-2</v>
          </cell>
        </row>
        <row r="117">
          <cell r="Q117">
            <v>0.01</v>
          </cell>
          <cell r="R117">
            <v>0.01</v>
          </cell>
          <cell r="S117">
            <v>0.01</v>
          </cell>
          <cell r="T117">
            <v>0.01</v>
          </cell>
          <cell r="U117">
            <v>0.01</v>
          </cell>
          <cell r="V117">
            <v>0.01</v>
          </cell>
          <cell r="W117">
            <v>0.01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rcado"/>
      <sheetName val="Capa"/>
      <sheetName val="Índice"/>
      <sheetName val="Balanço"/>
      <sheetName val="Compra-Mwh"/>
      <sheetName val="Venda-MWh"/>
      <sheetName val="Consumidores"/>
      <sheetName val="Forfait"/>
      <sheetName val="Outros"/>
      <sheetName val="Compra-R$"/>
      <sheetName val="Fatur. Bruto-Comercial"/>
      <sheetName val="Importe-Comercial"/>
      <sheetName val="ICMS Fat."/>
      <sheetName val="T I P"/>
      <sheetName val="Tarifa Comercial"/>
      <sheetName val="Arrec. Bruta"/>
      <sheetName val="Arrec.Líquida"/>
      <sheetName val="ICMS  Arrec."/>
      <sheetName val="Importe+ICMS"/>
      <sheetName val="Importe-Contábil"/>
      <sheetName val="ICMS Contábil"/>
      <sheetName val="Tarifa Contabilida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3_1"/>
      <sheetName val="Q3_2"/>
      <sheetName val="Q3_3"/>
      <sheetName val="Q3_4"/>
      <sheetName val="Q3_5"/>
      <sheetName val="Q3_6"/>
      <sheetName val="Q3_7"/>
      <sheetName val="Q3_8"/>
      <sheetName val="Q3_9"/>
      <sheetName val="Q3_10"/>
      <sheetName val="Q3_11"/>
      <sheetName val="ApoioGraf"/>
      <sheetName val="Plan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1_1"/>
      <sheetName val="Q2_1"/>
      <sheetName val="Q2_2"/>
      <sheetName val="Q2_3"/>
      <sheetName val="Q2_4"/>
      <sheetName val="Q2_5"/>
      <sheetName val="Q2_6"/>
      <sheetName val="Q2_7"/>
      <sheetName val="Q2_8"/>
      <sheetName val="Q2_9"/>
      <sheetName val="Q2_10"/>
      <sheetName val="Q2_11"/>
      <sheetName val="Q2_12"/>
      <sheetName val="Q2_13"/>
      <sheetName val="Q2_14"/>
      <sheetName val="Q2_15"/>
      <sheetName val="Q2_16"/>
      <sheetName val="Q2_17"/>
      <sheetName val="Q2_18"/>
      <sheetName val="Q2_19"/>
      <sheetName val="Q2_20"/>
      <sheetName val="Fonte de Gráficos"/>
      <sheetName val="Configuração"/>
      <sheetName val="PG_Absoluto"/>
      <sheetName val="Fonte_de_Gráficos"/>
      <sheetName val="J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sheetName val="Fev"/>
      <sheetName val="Mar"/>
      <sheetName val="Abr"/>
      <sheetName val="Mai"/>
      <sheetName val="Jun"/>
      <sheetName val="Jul"/>
      <sheetName val="Ago"/>
      <sheetName val="Set"/>
      <sheetName val="Out"/>
      <sheetName val="Nov"/>
      <sheetName val="Dez"/>
      <sheetName val="Receita Operacional"/>
      <sheetName val="Dados de Vendas e Operacionais"/>
      <sheetName val="Dados de Vendas e Operacion (2)"/>
      <sheetName val="DemFat"/>
      <sheetName val="Novo Formato"/>
      <sheetName val="Plan1"/>
      <sheetName val="Plan2"/>
      <sheetName val="Plan3"/>
      <sheetName val="Q2_4"/>
      <sheetName val="Q2_15"/>
      <sheetName val="Q2_2"/>
      <sheetName val="MODULOS"/>
      <sheetName val="CAUSAS"/>
      <sheetName val="Dados"/>
      <sheetName val="Receita_Operacional"/>
      <sheetName val="Dados_de_Vendas_e_Operacionais"/>
      <sheetName val="Dados_de_Vendas_e_Operacion_(2)"/>
      <sheetName val="Novo_Formato"/>
      <sheetName val="Dados2"/>
      <sheetName val="Merca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refreshError="1"/>
      <sheetData sheetId="3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JAN95"/>
      <sheetName val="Plan1"/>
      <sheetName val="Plan2"/>
      <sheetName val="Plan3"/>
      <sheetName val="Jan"/>
      <sheetName val="Empresas e Datas"/>
      <sheetName val="Empresas_e_Datas"/>
      <sheetName val="Empresas_e_Datas1"/>
      <sheetName val="Empresas_e_Datas2"/>
      <sheetName val="Q2_4"/>
      <sheetName val="Q2_15"/>
    </sheetNames>
    <sheetDataSet>
      <sheetData sheetId="0" refreshError="1">
        <row r="7">
          <cell r="A7" t="str">
            <v>DISCRIMINAÇÃO</v>
          </cell>
        </row>
        <row r="9">
          <cell r="A9" t="str">
            <v>RESIDENCIAL (B)</v>
          </cell>
        </row>
        <row r="11">
          <cell r="A11" t="str">
            <v xml:space="preserve">  16 a 30</v>
          </cell>
        </row>
        <row r="12">
          <cell r="A12" t="str">
            <v xml:space="preserve">  31 a 50</v>
          </cell>
        </row>
        <row r="13">
          <cell r="A13" t="str">
            <v xml:space="preserve">  51 a 100</v>
          </cell>
        </row>
        <row r="14">
          <cell r="A14" t="str">
            <v xml:space="preserve"> 101 a 150</v>
          </cell>
        </row>
        <row r="15">
          <cell r="A15" t="str">
            <v xml:space="preserve"> 151 a 200</v>
          </cell>
        </row>
        <row r="16">
          <cell r="A16" t="str">
            <v xml:space="preserve"> 201 a 300</v>
          </cell>
        </row>
        <row r="17">
          <cell r="A17" t="str">
            <v xml:space="preserve"> 301 a 400</v>
          </cell>
        </row>
        <row r="18">
          <cell r="A18" t="str">
            <v xml:space="preserve"> 401 a 500</v>
          </cell>
        </row>
        <row r="19">
          <cell r="A19" t="str">
            <v xml:space="preserve"> 501 a 1000</v>
          </cell>
        </row>
        <row r="20">
          <cell r="A20" t="str">
            <v>&gt;   1000</v>
          </cell>
        </row>
      </sheetData>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1_1"/>
      <sheetName val="Q2_1"/>
      <sheetName val="Q2_2"/>
      <sheetName val="Q2_3"/>
      <sheetName val="Q2_4"/>
      <sheetName val="Q2_5"/>
      <sheetName val="Q2_6"/>
      <sheetName val="Q2_7"/>
      <sheetName val="Q2_8"/>
      <sheetName val="Q2_9"/>
      <sheetName val="Q2_10"/>
      <sheetName val="Q2_11"/>
      <sheetName val="Q2_12"/>
      <sheetName val="Q2_13"/>
      <sheetName val="Q2_14"/>
      <sheetName val="Q2_15"/>
      <sheetName val="Q2_16"/>
      <sheetName val="Q2_17"/>
      <sheetName val="Q2_18"/>
      <sheetName val="Q2_19"/>
      <sheetName val="Q2_20"/>
      <sheetName val="Fonte de Gráficos"/>
      <sheetName val="Configuração"/>
      <sheetName val="Plan1"/>
      <sheetName val="Plan2"/>
      <sheetName val="Plan3"/>
      <sheetName val="FTJAN95"/>
      <sheetName val="Fonte_de_Gráficos"/>
      <sheetName val="Dado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sheetData sheetId="2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SAL"/>
      <sheetName val="MODELO"/>
      <sheetName val="CARGA_PROP"/>
      <sheetName val="TENSÃO"/>
      <sheetName val="FX_RES"/>
      <sheetName val="DM_BAR"/>
      <sheetName val="EN_BAR"/>
      <sheetName val="PLANTE_09"/>
      <sheetName val="REQUISTOS MENSAIS"/>
      <sheetName val="CMR"/>
      <sheetName val="NCR"/>
      <sheetName val="RES"/>
      <sheetName val="IND"/>
      <sheetName val="COM"/>
      <sheetName val="PP"/>
      <sheetName val="SP"/>
      <sheetName val="IP"/>
      <sheetName val="C.TOTAL"/>
      <sheetName val="PERDAS"/>
      <sheetName val="PD%"/>
      <sheetName val="REQ"/>
      <sheetName val="DMP"/>
      <sheetName val="FC%"/>
      <sheetName val="ELAST"/>
      <sheetName val="ELAST1"/>
      <sheetName val="Q2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
      <sheetName val="R$_ton"/>
      <sheetName val="Produtiva Pó"/>
      <sheetName val="Serviços Pó"/>
      <sheetName val="Total Pó"/>
      <sheetName val="Produtiva Barra"/>
      <sheetName val="Serviços Barra"/>
      <sheetName val="Total Barra"/>
      <sheetName val="Graf Diretas"/>
      <sheetName val="Diretas1 (2)"/>
      <sheetName val="Diretas1"/>
      <sheetName val="Supply Support"/>
      <sheetName val="Buying Planning"/>
      <sheetName val="Distribution1"/>
      <sheetName val="Distribution"/>
      <sheetName val="Sales Overheads"/>
      <sheetName val="Adm Total"/>
      <sheetName val="Adm Pó"/>
      <sheetName val="Adm NSD Bar"/>
      <sheetName val="Análise Custos"/>
      <sheetName val="PG_Absoluto"/>
      <sheetName val="PG_Ton"/>
      <sheetName val="PG Total"/>
      <sheetName val="PG Quim"/>
      <sheetName val="PG Emba"/>
      <sheetName val="PG Perf"/>
      <sheetName val="Nivel de Estoque"/>
      <sheetName val="Nivel Obsoletos"/>
      <sheetName val="Var.Prod.Acabado"/>
      <sheetName val="Var PA Po"/>
      <sheetName val="Var PA Barra"/>
      <sheetName val="Ativo"/>
      <sheetName val="A"/>
      <sheetName val="Contratos"/>
      <sheetName val="Licenças"/>
      <sheetName val="Resumo "/>
      <sheetName val="Totais"/>
      <sheetName val="total ano"/>
      <sheetName val="Variacoes"/>
      <sheetName val="  "/>
      <sheetName val="MENSAL"/>
      <sheetName val="Produtiva_Pó"/>
      <sheetName val="Serviços_Pó"/>
      <sheetName val="Total_Pó"/>
      <sheetName val="Produtiva_Barra"/>
      <sheetName val="Serviços_Barra"/>
      <sheetName val="Total_Barra"/>
      <sheetName val="Graf_Diretas"/>
      <sheetName val="Diretas1_(2)"/>
      <sheetName val="Supply_Support"/>
      <sheetName val="Buying_Planning"/>
      <sheetName val="Sales_Overheads"/>
      <sheetName val="Adm_Total"/>
      <sheetName val="Adm_Pó"/>
      <sheetName val="Adm_NSD_Bar"/>
      <sheetName val="Análise_Custos"/>
      <sheetName val="PG_Total"/>
      <sheetName val="PG_Quim"/>
      <sheetName val="PG_Emba"/>
      <sheetName val="PG_Perf"/>
      <sheetName val="Nivel_de_Estoque"/>
      <sheetName val="Nivel_Obsoletos"/>
      <sheetName val="Var_Prod_Acabado"/>
      <sheetName val="Var_PA_Po"/>
      <sheetName val="Var_PA_Barra"/>
      <sheetName val="Resumo_"/>
      <sheetName val="total_ano"/>
      <sheetName val="__"/>
      <sheetName val="MêsBase"/>
      <sheetName val="Plan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cado"/>
      <sheetName val="Capa"/>
      <sheetName val="Índice"/>
      <sheetName val="Balanço"/>
      <sheetName val="Compra-Mwh"/>
      <sheetName val="Venda-MWh"/>
      <sheetName val="Consumidores"/>
      <sheetName val="Forfait"/>
      <sheetName val="Outros"/>
      <sheetName val="Compra-R$"/>
      <sheetName val="Fatur. Bruto-Comercial"/>
      <sheetName val="Importe-Comercial"/>
      <sheetName val="ICMS Fat."/>
      <sheetName val="T I P"/>
      <sheetName val="Tarifa Comercial"/>
      <sheetName val="Arrec. Bruta"/>
      <sheetName val="Arrec.Líquida"/>
      <sheetName val="ICMS  Arrec."/>
      <sheetName val="Importe+ICMS"/>
      <sheetName val="Importe-Contábil"/>
      <sheetName val="ICMS Contábil"/>
      <sheetName val="Tarifa Contabilidade"/>
      <sheetName val="INDIECO1"/>
      <sheetName val="ASSUM"/>
      <sheetName val="Sist.Transm.Dist.Glob. "/>
      <sheetName val="Spot"/>
      <sheetName val="Taxes"/>
      <sheetName val="RESUMO"/>
      <sheetName val="Pessoal"/>
      <sheetName val=" PIB Brasil ( R$ de 1996 )"/>
      <sheetName val="FORMULÁRIO"/>
      <sheetName val="tarifas abertas internet"/>
      <sheetName val="BM&amp;F"/>
      <sheetName val="Plan1"/>
      <sheetName val="PAGAMENTO"/>
      <sheetName val="  "/>
      <sheetName val="Metalúrgica"/>
      <sheetName val="SETTINGS"/>
      <sheetName val="Suporte"/>
      <sheetName val="2000"/>
      <sheetName val="Banco"/>
      <sheetName val="TermoPE"/>
      <sheetName val="DRE e FLUXO CAIXA"/>
      <sheetName val="Índices"/>
      <sheetName val="DRE_Cemar_Orçam"/>
      <sheetName val="Tabela aux."/>
      <sheetName val="Dados2"/>
      <sheetName val="LISTAS"/>
      <sheetName val="Fatur__Bruto-Comercial"/>
      <sheetName val="T_I_P"/>
      <sheetName val="ICMS_Fat_"/>
      <sheetName val="ICMS_Contábil"/>
      <sheetName val="Tarifa_Comercial"/>
      <sheetName val="Tarifa_Contabilidade"/>
      <sheetName val="Arrec__Bruta"/>
      <sheetName val="ICMS__Arrec_"/>
      <sheetName val="Arrec_Líquida"/>
      <sheetName val="_PIB_Brasil_(_R$_de_1996_)"/>
      <sheetName val="Base FIN-NNG-PRE"/>
      <sheetName val="Base O&amp;M"/>
      <sheetName val="AA-10(Op.63)"/>
      <sheetName val="Inventário PA"/>
      <sheetName val="Aquisição"/>
      <sheetName val="ABRIL 2000"/>
      <sheetName val="FF3"/>
      <sheetName val="Avaliação"/>
    </sheetNames>
    <sheetDataSet>
      <sheetData sheetId="0"/>
      <sheetData sheetId="1"/>
      <sheetData sheetId="2"/>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HT"/>
      <sheetName val="ABSENT"/>
      <sheetName val="TF"/>
      <sheetName val="TG"/>
      <sheetName val="Taxa de Treinamento "/>
      <sheetName val="EFETIVO x HHT"/>
      <sheetName val="SAA"/>
      <sheetName val="TAÑRDO"/>
      <sheetName val="TARTDO"/>
    </sheetNames>
    <sheetDataSet>
      <sheetData sheetId="0"/>
      <sheetData sheetId="1"/>
      <sheetData sheetId="2">
        <row r="27">
          <cell r="C27">
            <v>6.0643549345656105</v>
          </cell>
          <cell r="D27">
            <v>3.0168551698338617</v>
          </cell>
          <cell r="E27">
            <v>1.9260066755391374</v>
          </cell>
        </row>
      </sheetData>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us Vinicius" refreshedDate="46286.489421180559" createdVersion="8" refreshedVersion="8" minRefreshableVersion="3" recordCount="125" xr:uid="{00000000-000A-0000-FFFF-FFFF11000000}">
  <cacheSource type="worksheet">
    <worksheetSource name="Tabela1"/>
  </cacheSource>
  <cacheFields count="44">
    <cacheField name="MÊS" numFmtId="17">
      <sharedItems containsBlank="1" count="16">
        <s v="Jan"/>
        <s v="Fev"/>
        <s v="Mar"/>
        <s v="Abr"/>
        <s v="Mai"/>
        <s v="Jun"/>
        <s v="Jul"/>
        <s v="Ago"/>
        <s v="Set"/>
        <s v="Out"/>
        <s v="Nov"/>
        <s v="Fev  " u="1"/>
        <s v="Abri" u="1"/>
        <m u="1"/>
        <s v="" u="1"/>
        <s v="Dez" u="1"/>
      </sharedItems>
    </cacheField>
    <cacheField name="DATA" numFmtId="14">
      <sharedItems containsSemiMixedTypes="0" containsNonDate="0" containsDate="1" containsString="0" minDate="2024-01-24T00:00:00" maxDate="2026-09-20T00:00:00"/>
    </cacheField>
    <cacheField name="NOME DO COLABORADOR" numFmtId="14">
      <sharedItems/>
    </cacheField>
    <cacheField name="PREFIXO" numFmtId="0">
      <sharedItems containsBlank="1" count="228">
        <s v="MA-PDT-O032M"/>
        <s v="MA-STI-V001M"/>
        <s v="MA-BCB-P001M"/>
        <s v="MA-PDT-F001M"/>
        <s v="MA-BCB-V001M"/>
        <s v="MA-BCB-F004M"/>
        <s v="MA-BCB-P004M"/>
        <s v="MA-ITM-P005M"/>
        <s v="MA-PDS-V001M"/>
        <s v="MA-ATM-E001M"/>
        <s v="MA-LDP-M001M"/>
        <s v="MA-PDS-P001M"/>
        <s v="MA-PDS-O002M"/>
        <s v="MA-PDS-F005M"/>
        <s v="MA-PDS-P002M"/>
        <s v="MA-STI-C002M"/>
        <s v="MA-STI-O003M"/>
        <s v="MA-STI-T001M"/>
        <s v="MA-PDS-F008M"/>
        <s v="MA-STI-P001M"/>
        <s v="MA-BDC-O003M"/>
        <s v="MA-STI-D002M"/>
        <s v="MA-ITM-P001M"/>
        <s v="LOG001"/>
        <s v="MA-ITM-O002M"/>
        <s v="MA-PDT-O031M"/>
        <s v="MA-ESP-E001M"/>
        <s v="MA-BCB-C001M"/>
        <s v="MA-BCB-Q001M"/>
        <s v="MA-SMT-M001M"/>
        <s v="MA-PDT-V001M"/>
        <s v="MA-BCB-F002M"/>
        <s v="MA-SMT-E001M"/>
        <s v="MA-ITM-C001M"/>
        <s v="SESMT"/>
        <s v="MA-PDS-O001M"/>
        <s v="MA-BCB-O007M"/>
        <s v="MA-PDS-M001M"/>
        <s v="MA-PDS-T001M"/>
        <s v="MA-STI-F003M"/>
        <s v="MA-SJB-E001M"/>
        <s v="MA-PIO-E001M"/>
        <s v="MA-BCB-F006M"/>
        <s v="MA-BDC-E002M"/>
        <s v="MA-BCB-F003M"/>
        <s v="MA-ODC-M001M"/>
        <s v="MA-BDC-O004M"/>
        <s v="MA-PDT-O034M"/>
        <s v="MA-ITM-E002M"/>
        <s v="MA-STI-P002M"/>
        <s v="MA-PDS-O003M"/>
        <s v="MA-STI-F001M"/>
        <s v="MA-ZDC-M001M"/>
        <s v="LEVANTADOR"/>
        <s v="MA-ALT-E001M"/>
        <s v="MA-PDT-E001M"/>
        <s v="MA-STL-M001M"/>
        <s v="MA-BCB-E003M"/>
        <s v="LOG006"/>
        <s v="MA-PDT-F006M"/>
        <s v="MA-STI-E001M"/>
        <s v="SUPERVISOR"/>
        <s v="ADM002"/>
        <s v="MA-TTM-E001M"/>
        <s v="MA-BCB-T001M"/>
        <s v="MA-BCB-CA01"/>
        <s v="MA-STL-E001M"/>
        <s v="MA-GEB-E001M"/>
        <s v="MA-STI-E002M"/>
        <s v="MA-PDT-F008M"/>
        <s v="MA-PDT-F005M"/>
        <s v="AUXILIAR DE FROTA"/>
        <s v="MA-ITM-CA01"/>
        <s v="MA-PDS-P004M. "/>
        <s v="MA-DPO-M001M"/>
        <s v="FISCAL "/>
        <s v="MA-PDT-O036M"/>
        <s v="MA-BDC-O005M"/>
        <s v="MA-ITM-V001M"/>
        <s v="MA-PDS-E001M"/>
        <s v="MA-PDT-V002M"/>
        <s v="MA-ITM-O001M"/>
        <s v="MA-PDS-O004M"/>
        <s v="MA-ITM-P002M"/>
        <s v="MA-LDP-E001M"/>
        <s v="MA-BCB-O003M" u="1"/>
        <s v=" MA-PDS-O002M" u="1"/>
        <s v=" MA-PDS-O001M" u="1"/>
        <s v="MA PDS T001M" u="1"/>
        <s v=" MA-PDS-O003M" u="1"/>
        <s v="ADM 169" u="1"/>
        <s v="PDS 303" u="1"/>
        <s v="PDT302" u="1"/>
        <s v="TAT" u="1"/>
        <s v="ESP-E001T" u="1"/>
        <m u="1"/>
        <s v="GOMAN - SUP." u="1"/>
        <s v="MA-BDC-C001M" u="1"/>
        <s v="STI350" u="1"/>
        <s v="BCB550" u="1"/>
        <s v="PDT801" u="1"/>
        <s v="BCB350" u="1"/>
        <s v="BCB804" u="1"/>
        <s v="BCB553" u="1"/>
        <s v="ITM554" u="1"/>
        <s v="PDS350" u="1"/>
        <s v="PDS550" u="1"/>
        <s v="PDS302" u="1"/>
        <s v="PDS805" u="1"/>
        <s v="PDS551" u="1"/>
        <s v="STI303" u="1"/>
        <s v="STI400" u="1"/>
        <s v="PDS808" u="1"/>
        <s v="STI550" u="1"/>
        <s v="BDC303" u="1"/>
        <s v="ITM550" u="1"/>
        <s v="ITM302" u="1"/>
        <s v="PDT301" u="1"/>
        <s v="BCB351" u="1"/>
        <s v="PDT350" u="1"/>
        <s v="BCB802" u="1"/>
        <s v="PDS301" u="1"/>
        <s v="BCB307" u="1"/>
        <s v="STI803" u="1"/>
        <s v="BCB806" u="1"/>
        <s v="BCB803" u="1"/>
        <s v="BDC304" u="1"/>
        <s v="PDT304" u="1"/>
        <s v="STI551" u="1"/>
        <s v="PDS303" u="1"/>
        <s v="STI801" u="1"/>
        <s v="TTM001" u="1"/>
        <s v="ESP001" u="1"/>
        <s v="ITM001" u="1"/>
        <s v="FFC001" u="1"/>
        <s v="PDT810" u="1"/>
        <s v="STI552" u="1"/>
        <s v="PDT016" u="1"/>
        <s v="PDT802" u="1"/>
        <s v="PDT550" u="1"/>
        <s v="PRL001" u="1"/>
        <s v="ADM" u="1"/>
        <s v="STI014" u="1"/>
        <s v="SERVIÇOS GERAIS" u="1"/>
        <s v="PDT002" u="1"/>
        <s v="MRA010" u="1"/>
        <s v="CTD002" u="1"/>
        <s v="ATM001" u="1"/>
        <s v="PDT554" u="1"/>
        <s v="JACKSON" u="1"/>
        <s v="LDP002" u="1"/>
        <s v="DPO006" u="1"/>
        <s v="PDT303" u="1"/>
        <s v="STI013" u="1"/>
        <s v="PDT804" u="1"/>
        <s v="TÉC. OBRA" u="1"/>
        <s v="ITM011" u="1"/>
        <s v="MRA006" u="1"/>
        <s v="STI017" u="1"/>
        <s v="STI016" u="1"/>
        <s v="ALMOX BCB" u="1"/>
        <s v="PDS-F008" u="1"/>
        <s v="MA BCB C001M" u="1"/>
        <s v="MA BCB F002M" u="1"/>
        <s v="MA SMT E001M" u="1"/>
        <s v="MA ITM C001M" u="1"/>
        <s v="LOGISTICA" u="1"/>
        <s v="MA STI F003M" u="1"/>
        <s v="MA SJB E001M" u="1"/>
        <s v="MA PIO E001M" u="1"/>
        <s v="MA BCB F006M" u="1"/>
        <s v="MA BCB F003M" u="1"/>
        <s v="MA ODC M001M" u="1"/>
        <s v="MA ITM E002M" u="1"/>
        <s v="MA STI F001" u="1"/>
        <s v="MA ESP E001M" u="1"/>
        <s v="MA ZDC M001M" u="1"/>
        <s v="MA ALT E001M" u="1"/>
        <s v="MA PDT E001M" u="1"/>
        <s v="MA ZDC M001" u="1"/>
        <s v="MA PDS T001 MA" u="1"/>
        <s v="ADMBVB" u="1"/>
        <s v="BCB804 PDS807" u="1"/>
        <s v="N/A" u="1"/>
        <s v="PDS" u="1"/>
        <s v="PDT" u="1"/>
        <s v="STI" u="1"/>
        <s v="BCB805" u="1"/>
        <s v="ITM553" u="1"/>
        <s v="PDT007" u="1"/>
        <s v="ALMOX" u="1"/>
        <s v="SJB001" u="1"/>
        <s v="ITMCT002" u="1"/>
        <s v="PDTCT003" u="1"/>
        <s v="ITM303" u="1"/>
        <s v="IGG001" u="1"/>
        <s v="STI006" u="1"/>
        <s v="FISCAL" u="1"/>
        <s v="PDT551" u="1"/>
        <s v="PODA" u="1"/>
        <s v="PDS003" u="1"/>
        <s v="PROSPECÇÃO" u="1"/>
        <s v="LGM001" u="1"/>
        <s v="PDSCT001" u="1"/>
        <s v="CT04" u="1"/>
        <s v="PDT014" u="1"/>
        <s v="BCB001" u="1"/>
        <s v="FROTA" u="1"/>
        <s v="COR001" u="1"/>
        <s v="ARI001" u="1"/>
        <s v="AUX. PROJETISTA" u="1"/>
        <s v="PDS553" u="1"/>
        <s v="PDT553" u="1"/>
        <s v="PDSCT01" u="1"/>
        <s v="PDSCT02" u="1"/>
        <s v="STI001" u="1"/>
        <s v="ADM001" u="1"/>
        <s v="STITAT" u="1"/>
        <s v="PDS005" u="1"/>
        <s v="TEC. DE OBRA" u="1"/>
        <s v="STI004" u="1"/>
        <s v="BCB808" u="1"/>
        <s v="SLG001" u="1"/>
        <s v="BCB801" u="1"/>
        <s v="PDS001" u="1"/>
        <s v="ALMOXARIFADO" u="1"/>
        <s v="PDT001" u="1"/>
        <s v="PDTTAT" u="1"/>
      </sharedItems>
    </cacheField>
    <cacheField name="PROCESSO" numFmtId="0">
      <sharedItems containsBlank="1" count="15">
        <s v="GOMAN"/>
        <s v="GERE"/>
        <s v="GSTC"/>
        <s v="ALMOXARIFADO"/>
        <s v="LOGISTICA"/>
        <s v="SESMT"/>
        <s v="ADMINISTRATIVO"/>
        <m u="1"/>
        <s v="ADM" u="1"/>
        <s v="QSMS" u="1"/>
        <s v="OFICINA" u="1"/>
        <s v="PLANTÃO" u="1"/>
        <s v="CONSTRUÇÃO" u="1"/>
        <s v="LV" u="1"/>
        <s v="PODA" u="1"/>
      </sharedItems>
    </cacheField>
    <cacheField name="CARACTERÍSTICA" numFmtId="0">
      <sharedItems/>
    </cacheField>
    <cacheField name="DESCRIÇÃO" numFmtId="0">
      <sharedItems longText="1"/>
    </cacheField>
    <cacheField name="SUPERVISOR" numFmtId="0">
      <sharedItems containsBlank="1"/>
    </cacheField>
    <cacheField name="TERCEIROS ENVOLVIDOS" numFmtId="0">
      <sharedItems containsBlank="1"/>
    </cacheField>
    <cacheField name="CIDADE" numFmtId="0">
      <sharedItems/>
    </cacheField>
    <cacheField name="BASE" numFmtId="0">
      <sharedItems containsBlank="1" count="7">
        <s v="PDT"/>
        <s v="STI"/>
        <s v="BCB"/>
        <s v="PDS"/>
        <s v="BDC"/>
        <s v="ITM"/>
        <m u="1"/>
      </sharedItems>
    </cacheField>
    <cacheField name="GRAVIDADE" numFmtId="0">
      <sharedItems/>
    </cacheField>
    <cacheField name="LESÃO" numFmtId="0">
      <sharedItems/>
    </cacheField>
    <cacheField name="Nº DA CAT" numFmtId="0">
      <sharedItems containsBlank="1" containsMixedTypes="1" containsNumber="1" containsInteger="1" minValue="1.10000000026988E+20" maxValue="1.10000000026988E+20"/>
    </cacheField>
    <cacheField name="1. PRAZO" numFmtId="14">
      <sharedItems containsSemiMixedTypes="0" containsNonDate="0" containsDate="1" containsString="0" minDate="2024-01-24T00:00:00" maxDate="2026-09-20T00:00:00"/>
    </cacheField>
    <cacheField name="1. REALIZAÇÃO" numFmtId="14">
      <sharedItems containsNonDate="0" containsDate="1" containsString="0" containsBlank="1" minDate="2024-01-24T00:00:00" maxDate="2026-09-20T00:00:00"/>
    </cacheField>
    <cacheField name="1. DIAS" numFmtId="0">
      <sharedItems containsSemiMixedTypes="0" containsString="0" containsNumber="1" containsInteger="1" minValue="-31" maxValue="846"/>
    </cacheField>
    <cacheField name="1. STATUS" numFmtId="0">
      <sharedItems/>
    </cacheField>
    <cacheField name="2. PRAZO" numFmtId="14">
      <sharedItems containsSemiMixedTypes="0" containsNonDate="0" containsDate="1" containsString="0" minDate="2024-01-25T00:00:00" maxDate="2026-09-21T00:00:00"/>
    </cacheField>
    <cacheField name="2. REALIZAÇÃO" numFmtId="14">
      <sharedItems containsNonDate="0" containsDate="1" containsString="0" containsBlank="1" minDate="2024-01-25T00:00:00" maxDate="2026-09-21T00:00:00"/>
    </cacheField>
    <cacheField name="2. DIAS" numFmtId="0">
      <sharedItems containsSemiMixedTypes="0" containsString="0" containsNumber="1" containsInteger="1" minValue="-3" maxValue="845"/>
    </cacheField>
    <cacheField name="2. STATUS" numFmtId="0">
      <sharedItems/>
    </cacheField>
    <cacheField name="3. PRAZO" numFmtId="14">
      <sharedItems containsSemiMixedTypes="0" containsNonDate="0" containsDate="1" containsString="0" minDate="2024-01-25T00:00:00" maxDate="2026-09-21T00:00:00"/>
    </cacheField>
    <cacheField name="3. REALIZAÇÃO" numFmtId="14">
      <sharedItems containsNonDate="0" containsDate="1" containsString="0" containsBlank="1" minDate="2024-01-25T00:00:00" maxDate="2026-09-21T00:00:00"/>
    </cacheField>
    <cacheField name="3. DIAS" numFmtId="0">
      <sharedItems containsSemiMixedTypes="0" containsString="0" containsNumber="1" containsInteger="1" minValue="-30" maxValue="845"/>
    </cacheField>
    <cacheField name="3. STATUS" numFmtId="0">
      <sharedItems/>
    </cacheField>
    <cacheField name="4. PRAZO" numFmtId="14">
      <sharedItems containsSemiMixedTypes="0" containsNonDate="0" containsDate="1" containsString="0" minDate="2024-02-01T00:00:00" maxDate="2026-09-28T00:00:00"/>
    </cacheField>
    <cacheField name="4. REALIZAÇÃO" numFmtId="14">
      <sharedItems containsNonDate="0" containsDate="1" containsString="0" containsBlank="1" minDate="2024-02-01T00:00:00" maxDate="2026-09-21T00:00:00"/>
    </cacheField>
    <cacheField name="4. DIAS" numFmtId="0">
      <sharedItems containsSemiMixedTypes="0" containsString="0" containsNumber="1" containsInteger="1" minValue="-32" maxValue="838"/>
    </cacheField>
    <cacheField name="4. STATUS" numFmtId="0">
      <sharedItems/>
    </cacheField>
    <cacheField name="5. PRAZO" numFmtId="14">
      <sharedItems containsSemiMixedTypes="0" containsNonDate="0" containsDate="1" containsString="0" minDate="2024-02-02T00:00:00" maxDate="2026-09-29T00:00:00"/>
    </cacheField>
    <cacheField name="5. REALIZAÇÃO" numFmtId="14">
      <sharedItems containsNonDate="0" containsDate="1" containsString="0" containsBlank="1" minDate="2024-02-02T00:00:00" maxDate="2026-09-22T00:00:00"/>
    </cacheField>
    <cacheField name="5. DIAS" numFmtId="0">
      <sharedItems containsSemiMixedTypes="0" containsString="0" containsNumber="1" containsInteger="1" minValue="-9" maxValue="837"/>
    </cacheField>
    <cacheField name="5. STATUS" numFmtId="0">
      <sharedItems/>
    </cacheField>
    <cacheField name="6. PRAZO" numFmtId="14">
      <sharedItems containsSemiMixedTypes="0" containsNonDate="0" containsDate="1" containsString="0" minDate="2024-02-03T00:00:00" maxDate="2026-09-30T00:00:00"/>
    </cacheField>
    <cacheField name="6. REALIZAÇÃO" numFmtId="14">
      <sharedItems containsNonDate="0" containsDate="1" containsString="0" containsBlank="1" minDate="2024-02-03T00:00:00" maxDate="2026-09-21T00:00:00"/>
    </cacheField>
    <cacheField name="6. DIAS" numFmtId="0">
      <sharedItems containsSemiMixedTypes="0" containsString="0" containsNumber="1" containsInteger="1" minValue="-10" maxValue="836"/>
    </cacheField>
    <cacheField name="6. STATUS" numFmtId="0">
      <sharedItems/>
    </cacheField>
    <cacheField name="7. ÍNICIO" numFmtId="14">
      <sharedItems containsNonDate="0" containsDate="1" containsString="0" containsBlank="1" minDate="2024-05-06T00:00:00" maxDate="2026-06-02T00:00:00"/>
    </cacheField>
    <cacheField name="7. FIM" numFmtId="14">
      <sharedItems containsNonDate="0" containsDate="1" containsString="0" containsBlank="1" minDate="2024-06-30T00:00:00" maxDate="2026-05-22T00:00:00"/>
    </cacheField>
    <cacheField name="8. REALIZAÇÃO" numFmtId="14">
      <sharedItems containsBlank="1"/>
    </cacheField>
    <cacheField name="TIPO" numFmtId="0">
      <sharedItems containsBlank="1" count="46">
        <s v="TÍPICO"/>
        <s v="OUTROS"/>
        <s v="SINIS. TRÂNSITO"/>
        <s v="INCIDENTE"/>
        <s v="PRI. SOCORROS"/>
        <s v="SINISTRO TRÂNSITO" u="1"/>
        <s v="PRIMEIRO SOCORROS" u="1"/>
        <s v="TRÂNSITO" u="1"/>
        <m u="1"/>
        <s v="ACIDENTE" u="1"/>
        <s v="TRAJETO" u="1"/>
        <s v="DANO A VEÍCULO" u="1"/>
        <s v="TORSÃO DE MEMBRO" u="1"/>
        <s v="CURTO CIRCUITO" u="1"/>
        <s v="BATIDA CONTRA" u="1"/>
        <s v="PRENSAGEM DE MEMBRO" u="1"/>
        <s v="DANO A PATRIMÔNIO" u="1"/>
        <s v="OPERAÇÃO INCORRETA EQP" u="1"/>
        <s v="ATINGIDO POR OBJETO" u="1"/>
        <s v="ESCORREGÃO/TOPEÇÃO " u="1"/>
        <s v="ATAQUE DE INSETO" u="1"/>
        <s v="DANOS AO EQUIPAMENTO" u="1"/>
        <s v="CONTATO COM ELETRICIDADE" u="1"/>
        <s v="TIPICO" u="1"/>
        <s v="TRAJETO " u="1"/>
        <s v="QUEDA DE DIFERENÇA DE NIVEL" u="1"/>
        <s v="DANO A VEICULO" u="1"/>
        <s v="DANO AO VEICULO" u="1"/>
        <s v="QUEDA DE ÁVORE" u="1"/>
        <s v="ATAQUE DE INSETOS" u="1"/>
        <s v="EXECUÇÃO" u="1"/>
        <s v="COLAPSO ESTRUTURAL" u="1"/>
        <s v="CONTATO COM OBJETO PERFURUCORTANTE" u="1"/>
        <s v="QUEDA DE OBJETOS" u="1"/>
        <s v="PRENSAGEM DE MEMBRO(S)" u="1"/>
        <s v="PERFURAÇÃO" u="1"/>
        <s v="GOLPEADO CONTRA" u="1"/>
        <s v="SEP" u="1"/>
        <s v="CONTATO COM OBJETO PERFURANTE" u="1"/>
        <s v="ATINGIDO POR OBJETO EM MOVIMENTO" u="1"/>
        <s v="ESCORIAÇÃO" u="1"/>
        <s v="QUEDA DE ESTRUTURA" u="1"/>
        <s v="CONTATO COM OBJETO PERFUROCORTANTE" u="1"/>
        <s v="CORTE" u="1"/>
        <s v="QUEDA DE MESMO NÍVEL" u="1"/>
        <s v="QUEDA NO MESMO NÍVEL" u="1"/>
      </sharedItems>
    </cacheField>
    <cacheField name="COMUNICADO EQTL" numFmtId="0">
      <sharedItems containsBlank="1"/>
    </cacheField>
    <cacheField name="TRAJETO" numFmtId="0">
      <sharedItems containsBlank="1"/>
    </cacheField>
  </cacheFields>
  <extLst>
    <ext xmlns:x14="http://schemas.microsoft.com/office/spreadsheetml/2009/9/main" uri="{725AE2AE-9491-48be-B2B4-4EB974FC3084}">
      <x14:pivotCacheDefinition pivotCacheId="1301943324"/>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us Vinicius" refreshedDate="46286.489421759259" createdVersion="5" refreshedVersion="8" minRefreshableVersion="3" recordCount="29" xr:uid="{00000000-000A-0000-FFFF-FFFF0A000000}">
  <cacheSource type="worksheet">
    <worksheetSource name="Tabela15"/>
  </cacheSource>
  <cacheFields count="30">
    <cacheField name="MÊS" numFmtId="17">
      <sharedItems containsBlank="1" count="14">
        <s v="Jan"/>
        <s v="Fev"/>
        <s v="Mar"/>
        <s v="Abr"/>
        <s v="Mai"/>
        <s v="Jun"/>
        <s v=""/>
        <m/>
        <s v="Set" u="1"/>
        <s v="Dez" u="1"/>
        <s v="Ago" u="1"/>
        <s v="Nov" u="1"/>
        <s v="Jul" u="1"/>
        <s v="Out" u="1"/>
      </sharedItems>
    </cacheField>
    <cacheField name="DATA" numFmtId="14">
      <sharedItems containsNonDate="0" containsDate="1" containsString="0" containsBlank="1" minDate="2024-01-01T00:00:00" maxDate="2024-06-14T00:00:00"/>
    </cacheField>
    <cacheField name="NOME DO COLABORADOR" numFmtId="14">
      <sharedItems containsBlank="1"/>
    </cacheField>
    <cacheField name="PREFIXO" numFmtId="0">
      <sharedItems containsBlank="1" count="63">
        <s v="TTM001"/>
        <s v="ESP001"/>
        <s v="ITM001"/>
        <s v="FFC001"/>
        <s v="STI303"/>
        <s v="PDT810"/>
        <s v="STI552"/>
        <s v="PDT016"/>
        <s v="PDT802"/>
        <s v="BCB804 PDS807"/>
        <s v="PDT550"/>
        <s v="PRL001"/>
        <s v="ADMBVB"/>
        <s v="STI014"/>
        <s v="PDT002"/>
        <s v="SUPERVISOR"/>
        <s v="PDT350"/>
        <s v="MRA010"/>
        <s v="PDS303"/>
        <s v="PDT302"/>
        <s v="CTD002"/>
        <s v="PDT304"/>
        <s v="JACKSON"/>
        <s v="PDT554"/>
        <s v="DPO006"/>
        <m/>
        <s v="SERVIÇOS GERAIS" u="1"/>
        <s v="ADMINISTRATIVO" u="1"/>
        <s v="PDT806" u="1"/>
        <s v="BCB805" u="1"/>
        <s v="BCB819" u="1"/>
        <s v="PDT806 E 809" u="1"/>
        <s v="STI006" u="1"/>
        <s v="PDSCT001" u="1"/>
        <s v="ANJ001" u="1"/>
        <s v="ARI001" u="1"/>
        <s v="VGD001" u="1"/>
        <s v="FROTA" u="1"/>
        <s v="PDS550" u="1"/>
        <s v="ALP001" u="1"/>
        <s v="PDS553" u="1"/>
        <s v="PDT303" u="1"/>
        <s v="PDS304" u="1"/>
        <s v="LEVANTADOR" u="1"/>
        <s v="PODA" u="1"/>
        <s v="SMT001" u="1"/>
        <s v="PDS001" u="1"/>
        <s v="FISCAL" u="1"/>
        <s v="PDT001" u="1"/>
        <s v="PDS003" u="1"/>
        <s v="COR001" u="1"/>
        <s v="STI350" u="1"/>
        <s v="BCB813" u="1"/>
        <s v="PDT815" u="1"/>
        <s v="IGG001" u="1"/>
        <s v="LDP002" u="1"/>
        <s v="BCB801" u="1"/>
        <s v="ALMOX" u="1"/>
        <s v="MON001" u="1"/>
        <s v="PDT803" u="1"/>
        <s v="PDSCT02" u="1"/>
        <s v="PDT804" u="1"/>
        <s v="BCB817" u="1"/>
      </sharedItems>
    </cacheField>
    <cacheField name="PROCESSO" numFmtId="0">
      <sharedItems containsBlank="1" count="7">
        <s v="GSTC"/>
        <s v="GOMAN"/>
        <s v="GERE"/>
        <s v="ADM"/>
        <s v="GSRD"/>
        <s v="ALMOXARIFADO"/>
        <m/>
      </sharedItems>
    </cacheField>
    <cacheField name="TIPO" numFmtId="0">
      <sharedItems containsBlank="1" count="22">
        <s v="DANO A VEÍCULO"/>
        <s v="BATIDA CONTRA"/>
        <s v="DANO A PATRIMÔNIO"/>
        <s v="OPERAÇÃO INCORRETA EQP"/>
        <s v="ATINGIDO POR OBJETO"/>
        <s v="DANOS AO EQUIPAMENTO"/>
        <s v="DANO A VEICULO"/>
        <s v="TIPICO"/>
        <s v="TRAJETO"/>
        <s v="DANO AO VEICULO"/>
        <m/>
        <s v="DANO A VEIULO" u="1"/>
        <s v="ESCORREGÃO/TOPEÇÃO " u="1"/>
        <s v="TRÂNSITO" u="1"/>
        <s v="QUEDA DE OBJETOS SOBRE A REDE ENERGIZADA" u="1"/>
        <s v="AGRESSÃO FÍSICA DE TERCEIROS" u="1"/>
        <s v="QUEDA DE OBJETOS" u="1"/>
        <s v="TORÇÃO DE MEMBRO" u="1"/>
        <s v="ATAQUE DE INSETOS" u="1"/>
        <s v="SEP" u="1"/>
        <s v="QUEDA DE MESMO NÍVEL" u="1"/>
        <s v="ROMPIMENTO DE CABO ENERGIZADO" u="1"/>
      </sharedItems>
    </cacheField>
    <cacheField name="DESCRIÇÃO" numFmtId="0">
      <sharedItems containsBlank="1" longText="1"/>
    </cacheField>
    <cacheField name="SUPERVISOR" numFmtId="0">
      <sharedItems containsBlank="1"/>
    </cacheField>
    <cacheField name="CIDADE" numFmtId="0">
      <sharedItems containsBlank="1"/>
    </cacheField>
    <cacheField name="TERCEIROS ENVOLVIDOS" numFmtId="0">
      <sharedItems containsBlank="1"/>
    </cacheField>
    <cacheField name="BASE" numFmtId="0">
      <sharedItems containsBlank="1" count="6">
        <s v="PDT"/>
        <s v="PDS"/>
        <s v="ITM"/>
        <s v="STI"/>
        <s v="BCB"/>
        <m/>
      </sharedItems>
    </cacheField>
    <cacheField name="GRAVIDADE" numFmtId="0">
      <sharedItems containsBlank="1"/>
    </cacheField>
    <cacheField name="LESÃO" numFmtId="0">
      <sharedItems containsBlank="1"/>
    </cacheField>
    <cacheField name="1. PRAZO" numFmtId="14">
      <sharedItems containsDate="1" containsMixedTypes="1" minDate="2024-01-01T00:00:00" maxDate="2024-06-14T00:00:00"/>
    </cacheField>
    <cacheField name="1. REALIZAÇÃO" numFmtId="14">
      <sharedItems containsNonDate="0" containsDate="1" containsString="0" containsBlank="1" minDate="2024-01-01T00:00:00" maxDate="2024-06-16T00:00:00"/>
    </cacheField>
    <cacheField name="1. DIAS" numFmtId="0">
      <sharedItems containsMixedTypes="1" containsNumber="1" containsInteger="1" minValue="0" maxValue="3"/>
    </cacheField>
    <cacheField name="1. STATUS" numFmtId="0">
      <sharedItems/>
    </cacheField>
    <cacheField name="3. PRAZO" numFmtId="14">
      <sharedItems containsDate="1" containsMixedTypes="1" minDate="2024-01-02T00:00:00" maxDate="2024-06-15T00:00:00"/>
    </cacheField>
    <cacheField name="3. REALIZAÇÃO" numFmtId="14">
      <sharedItems containsNonDate="0" containsDate="1" containsString="0" containsBlank="1" minDate="2024-01-02T00:00:00" maxDate="2024-06-16T00:00:00"/>
    </cacheField>
    <cacheField name="3. DIAS" numFmtId="0">
      <sharedItems containsMixedTypes="1" containsNumber="1" containsInteger="1" minValue="0" maxValue="880"/>
    </cacheField>
    <cacheField name="3. STATUS" numFmtId="0">
      <sharedItems/>
    </cacheField>
    <cacheField name="4. PRAZO" numFmtId="14">
      <sharedItems containsDate="1" containsMixedTypes="1" minDate="2024-01-06T00:00:00" maxDate="2024-06-19T00:00:00"/>
    </cacheField>
    <cacheField name="4. REALIZAÇÃO" numFmtId="14">
      <sharedItems containsNonDate="0" containsDate="1" containsString="0" containsBlank="1" minDate="2024-01-06T00:00:00" maxDate="2024-06-19T00:00:00"/>
    </cacheField>
    <cacheField name="4. DIAS" numFmtId="0">
      <sharedItems containsMixedTypes="1" containsNumber="1" containsInteger="1" minValue="0" maxValue="876"/>
    </cacheField>
    <cacheField name="4. STATUS" numFmtId="0">
      <sharedItems/>
    </cacheField>
    <cacheField name="5. PRAZO" numFmtId="14">
      <sharedItems containsDate="1" containsMixedTypes="1" minDate="2024-01-09T00:00:00" maxDate="2024-06-22T00:00:00"/>
    </cacheField>
    <cacheField name="5. REALIZAÇÃO" numFmtId="14">
      <sharedItems containsNonDate="0" containsDate="1" containsString="0" containsBlank="1" minDate="2024-01-09T00:00:00" maxDate="2024-04-12T00:00:00"/>
    </cacheField>
    <cacheField name="5. DIAS" numFmtId="0">
      <sharedItems containsMixedTypes="1" containsNumber="1" containsInteger="1" minValue="0" maxValue="891"/>
    </cacheField>
    <cacheField name="5. STATUS" numFmtId="0">
      <sharedItems/>
    </cacheField>
    <cacheField name="7. REALIZAÇÃO" numFmtId="14">
      <sharedItems containsNonDate="0" containsString="0" containsBlank="1"/>
    </cacheField>
  </cacheFields>
  <extLst>
    <ext xmlns:x14="http://schemas.microsoft.com/office/spreadsheetml/2009/9/main" uri="{725AE2AE-9491-48be-B2B4-4EB974FC3084}">
      <x14:pivotCacheDefinition pivotCacheId="130194332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x v="0"/>
    <d v="2024-01-24T00:00:00"/>
    <s v="FRANCISCO FÁBIO FERREIRA DE SOUSA"/>
    <x v="0"/>
    <x v="0"/>
    <s v="QUEDA EM ALTURA MENOR QUE &lt; 2 METROS  "/>
    <s v="Na manhã do dia  24/01/2024 por volta das 11:30h a equipe PDT302 estava realizando uma obra de universalização rural “UNR-0151” onde no momento da implantação de um dos postes, o colaborador Francisco Fábio Ferreira de Sousa, ao auxiliar na execução da atividade caiu com uma das pernas na cava do poste, tendo uma leve torção no joelho. Colaborador seguiu com o restante da jornada de trabalho sem apresentar queixas de dores. Entretendo ao chegar em suas residência já no período da noite entrou em contato reclamando de dores e inchaços no joelho. Amanhã irá ao pronto socorro verificar se ouve lesão que gere afastamento."/>
    <s v="HUGO PORTELA"/>
    <s v="NÃO"/>
    <s v="FERNANDO FALCÃO"/>
    <x v="0"/>
    <s v="LEVE"/>
    <s v="SEM AFASTAMENTO"/>
    <s v="1.1.0000000023944876062"/>
    <d v="2024-01-24T00:00:00"/>
    <d v="2024-01-24T00:00:00"/>
    <n v="0"/>
    <s v="NO PRAZO"/>
    <d v="2024-01-25T00:00:00"/>
    <d v="2024-01-25T00:00:00"/>
    <n v="0"/>
    <s v="NO PRAZO"/>
    <d v="2024-01-25T00:00:00"/>
    <d v="2024-01-25T00:00:00"/>
    <n v="0"/>
    <s v="NO PRAZO"/>
    <d v="2024-02-01T00:00:00"/>
    <d v="2024-02-01T00:00:00"/>
    <n v="0"/>
    <s v="NO PRAZO"/>
    <d v="2024-02-02T00:00:00"/>
    <d v="2024-02-02T00:00:00"/>
    <n v="0"/>
    <s v="NO PRAZO"/>
    <d v="2024-02-03T00:00:00"/>
    <d v="2024-02-03T00:00:00"/>
    <n v="0"/>
    <s v="NO PRAZO"/>
    <m/>
    <m/>
    <m/>
    <x v="0"/>
    <s v="SIM"/>
    <m/>
  </r>
  <r>
    <x v="0"/>
    <d v="2024-01-24T00:00:00"/>
    <s v="EQUIPE STI350"/>
    <x v="1"/>
    <x v="0"/>
    <s v="CONTATO COM ELETRICIDADE"/>
    <s v="A equipe STI350, realizava uma atividade de substituição de poste na obra “MMT0062” onde no momento da transferência dos cabos do poste antigo para o poste novo, os colaboradores  Dallis Araújo e Marcone Borba, posicionaram o cabo by-passado em cima da cruzeta onde o lençol inteiro estava envolvido corretamente sobre ela, porém o cabo não estava 100 % coberto, ao colocar o cabo em cima da cruzeta, houve o arco que segundo os eletricistas, foi pelo lado interno do lençol, sendo assim, tirando o alimentador de operação."/>
    <s v="JOCIVAN SOUSA"/>
    <s v="NÃO"/>
    <s v="SANTA LUZIA"/>
    <x v="1"/>
    <s v="LEVE"/>
    <s v="SEM AFASTAMENTO"/>
    <s v="NA"/>
    <d v="2024-01-24T00:00:00"/>
    <d v="2024-01-24T00:00:00"/>
    <n v="0"/>
    <s v="NO PRAZO"/>
    <d v="2024-01-25T00:00:00"/>
    <d v="2024-01-25T00:00:00"/>
    <n v="0"/>
    <s v="NO PRAZO"/>
    <d v="2024-01-25T00:00:00"/>
    <d v="2024-01-25T00:00:00"/>
    <n v="0"/>
    <s v="NO PRAZO"/>
    <d v="2024-02-01T00:00:00"/>
    <d v="2024-02-01T00:00:00"/>
    <n v="0"/>
    <s v="NO PRAZO"/>
    <d v="2024-02-02T00:00:00"/>
    <d v="2024-02-02T00:00:00"/>
    <n v="0"/>
    <s v="NO PRAZO"/>
    <d v="2024-02-03T00:00:00"/>
    <d v="2024-02-03T00:00:00"/>
    <n v="0"/>
    <s v="NO PRAZO"/>
    <m/>
    <m/>
    <m/>
    <x v="1"/>
    <s v="SIM"/>
    <m/>
  </r>
  <r>
    <x v="0"/>
    <d v="2024-01-31T00:00:00"/>
    <s v="EQUIPE BCB550"/>
    <x v="2"/>
    <x v="0"/>
    <s v="CONTATO COM ELETRICIDADE"/>
    <s v="Por volta das 16:40 horas a equipe estaiou uma árvore e projetou a queda da mesma para um determinado sentido (paralelo à rede de energia elétrica), porém o tronco da árvore estava oco e não foi observado no momento do corte pela equipe, assim, o vegetal caiu muito próximo à rede de energia elétrica onde um dos galhos tocou no cabo vindo a desenergizar duas fazes do circuito BCB01C8, total de clientes afetados -1."/>
    <s v="WERBETH CARVALHO"/>
    <s v="NÃO"/>
    <s v="BACABAL"/>
    <x v="2"/>
    <s v="LEVE"/>
    <s v="SEM AFASTAMENTO"/>
    <s v="NA"/>
    <d v="2024-01-31T00:00:00"/>
    <d v="2024-01-31T00:00:00"/>
    <n v="0"/>
    <s v="NO PRAZO"/>
    <d v="2024-02-01T00:00:00"/>
    <d v="2024-02-01T00:00:00"/>
    <n v="0"/>
    <s v="NO PRAZO"/>
    <d v="2024-02-01T00:00:00"/>
    <d v="2024-02-01T00:00:00"/>
    <n v="0"/>
    <s v="NO PRAZO"/>
    <d v="2024-02-08T00:00:00"/>
    <d v="2024-02-08T00:00:00"/>
    <n v="0"/>
    <s v="NO PRAZO"/>
    <d v="2024-02-09T00:00:00"/>
    <d v="2024-02-09T00:00:00"/>
    <n v="0"/>
    <s v="NO PRAZO"/>
    <d v="2024-02-10T00:00:00"/>
    <d v="2024-02-10T00:00:00"/>
    <n v="0"/>
    <s v="NO PRAZO"/>
    <m/>
    <m/>
    <m/>
    <x v="1"/>
    <s v="SIM"/>
    <m/>
  </r>
  <r>
    <x v="1"/>
    <d v="2024-02-01T00:00:00"/>
    <s v="LUCAS LIMA CARVALHO"/>
    <x v="3"/>
    <x v="1"/>
    <s v="PEGO ENTRE OU SOB (ESMAGADO, AMPUTADO)"/>
    <s v="Ao finalizar a inspeção equipe recolheu todos os materiais e colocou na carroceria da viatura, quando o colaborador foi fecha a tampa da carroceria acabou prensando o dedo polegar da mão direita"/>
    <s v="ANTONIO MARCOS"/>
    <s v="NÃO"/>
    <s v="BARRA DO CORDA"/>
    <x v="0"/>
    <s v="LEVE"/>
    <s v="SEM AFASTAMENTO"/>
    <s v="1.1.0000000024114418919"/>
    <d v="2024-02-01T00:00:00"/>
    <d v="2024-02-01T00:00:00"/>
    <n v="0"/>
    <s v="NO PRAZO"/>
    <d v="2024-02-02T00:00:00"/>
    <d v="2024-02-02T00:00:00"/>
    <n v="0"/>
    <s v="NO PRAZO"/>
    <d v="2024-02-02T00:00:00"/>
    <d v="2024-02-02T00:00:00"/>
    <n v="0"/>
    <s v="NO PRAZO"/>
    <d v="2024-02-09T00:00:00"/>
    <d v="2024-02-02T00:00:00"/>
    <n v="-7"/>
    <s v="NO PRAZO"/>
    <d v="2024-02-10T00:00:00"/>
    <d v="2024-02-10T00:00:00"/>
    <n v="0"/>
    <s v="NO PRAZO"/>
    <d v="2024-02-11T00:00:00"/>
    <d v="2024-02-11T00:00:00"/>
    <n v="0"/>
    <s v="NO PRAZO"/>
    <m/>
    <m/>
    <m/>
    <x v="0"/>
    <s v="SIM"/>
    <m/>
  </r>
  <r>
    <x v="1"/>
    <d v="2024-02-15T00:00:00"/>
    <s v="EQUIPE BCB350"/>
    <x v="4"/>
    <x v="0"/>
    <s v="CONTATO COM ELETRICIDADE"/>
    <s v="a equipe BCB350 estava realizando uma atividade de manutenção de substituição de isolador bastão no PG-2176944, SI-478561. _x000a_A equipe iníciou a atividade trocando as fases &quot;C e B&quot;, e quando foram iniciar a trocar a fase &quot;A&quot; , ao tracionar a fase, eles não se atentaram no cruzamento (flay-tape) e veio a curto de fase/fase, o bloqueio do RP "/>
    <s v="JOCIVAN SOUSA"/>
    <s v="NÃO"/>
    <s v="SÃO LUIS GONZAGA"/>
    <x v="2"/>
    <s v="LEVE"/>
    <s v="SEM AFASTAMENTO"/>
    <s v="NA"/>
    <d v="2024-02-15T00:00:00"/>
    <d v="2024-02-15T00:00:00"/>
    <n v="0"/>
    <s v="NO PRAZO"/>
    <d v="2024-02-16T00:00:00"/>
    <d v="2024-02-16T00:00:00"/>
    <n v="0"/>
    <s v="NO PRAZO"/>
    <d v="2024-02-16T00:00:00"/>
    <d v="2024-02-16T00:00:00"/>
    <n v="0"/>
    <s v="NO PRAZO"/>
    <d v="2024-02-23T00:00:00"/>
    <d v="2024-02-23T00:00:00"/>
    <n v="0"/>
    <s v="NO PRAZO"/>
    <d v="2024-02-24T00:00:00"/>
    <d v="2024-02-24T00:00:00"/>
    <n v="0"/>
    <s v="NO PRAZO"/>
    <d v="2024-02-25T00:00:00"/>
    <d v="2024-02-25T00:00:00"/>
    <n v="0"/>
    <s v="NO PRAZO"/>
    <m/>
    <m/>
    <m/>
    <x v="1"/>
    <s v="SIM"/>
    <m/>
  </r>
  <r>
    <x v="1"/>
    <d v="2024-02-22T00:00:00"/>
    <s v="EQUIPE BCB805"/>
    <x v="5"/>
    <x v="1"/>
    <s v="CONTATO COM ELETRICIDADE"/>
    <s v="A equipe realizava uma conexão de Ligação Nova em um final de rede multiplex, ao alçar o ramal do cliente o colaborador alçou o ramal na manilha da estrutura de BT gerando um curto-circuito"/>
    <s v="ANTONIO MARCOS"/>
    <s v="NÃO"/>
    <s v="LAGOA DA PEDRA"/>
    <x v="3"/>
    <s v="LEVE"/>
    <s v="SEM AFASTAMENTO"/>
    <s v="NA"/>
    <d v="2024-02-22T00:00:00"/>
    <d v="2024-02-22T00:00:00"/>
    <n v="0"/>
    <s v="NO PRAZO"/>
    <d v="2024-02-23T00:00:00"/>
    <d v="2024-02-23T00:00:00"/>
    <n v="0"/>
    <s v="NO PRAZO"/>
    <d v="2024-02-23T00:00:00"/>
    <d v="2024-02-23T00:00:00"/>
    <n v="0"/>
    <s v="NO PRAZO"/>
    <d v="2024-03-01T00:00:00"/>
    <d v="2024-03-01T00:00:00"/>
    <n v="0"/>
    <s v="NO PRAZO"/>
    <d v="2024-03-02T00:00:00"/>
    <d v="2024-03-02T00:00:00"/>
    <n v="0"/>
    <s v="NO PRAZO"/>
    <d v="2024-03-03T00:00:00"/>
    <d v="2024-03-03T00:00:00"/>
    <n v="0"/>
    <s v="NO PRAZO"/>
    <m/>
    <m/>
    <m/>
    <x v="1"/>
    <s v="SIM"/>
    <m/>
  </r>
  <r>
    <x v="1"/>
    <d v="2024-02-23T00:00:00"/>
    <s v="CARLOS ANTONIO DOS SANTOS DE AGUIAR"/>
    <x v="6"/>
    <x v="0"/>
    <s v="GOLPEADO POR (ATINGIDO POR OBJETO EM MOVIMENTO)"/>
    <s v="Ao cortar um bambu (taboca) com uma foice, o caule veio a cair de ponta em cima do seu pé esquerdo vindo a ferir o local atingido."/>
    <s v="FLAVIO TEIXEIRA"/>
    <s v="NÃO"/>
    <s v="PRESIDENTE DUTRA"/>
    <x v="0"/>
    <s v="LEVE"/>
    <s v="SEM AFASTAMENTO"/>
    <s v="1.1.0000000024466430146"/>
    <d v="2024-02-23T00:00:00"/>
    <d v="2024-02-23T00:00:00"/>
    <n v="0"/>
    <s v="NO PRAZO"/>
    <d v="2024-02-24T00:00:00"/>
    <d v="2024-02-24T00:00:00"/>
    <n v="0"/>
    <s v="NO PRAZO"/>
    <d v="2024-02-24T00:00:00"/>
    <d v="2024-02-24T00:00:00"/>
    <n v="0"/>
    <s v="NO PRAZO"/>
    <d v="2024-03-02T00:00:00"/>
    <d v="2024-02-01T00:00:00"/>
    <n v="-30"/>
    <s v="NO PRAZO"/>
    <d v="2024-03-03T00:00:00"/>
    <d v="2024-03-03T00:00:00"/>
    <n v="0"/>
    <s v="NO PRAZO"/>
    <d v="2024-03-04T00:00:00"/>
    <d v="2024-03-04T00:00:00"/>
    <n v="0"/>
    <s v="NO PRAZO"/>
    <m/>
    <m/>
    <m/>
    <x v="0"/>
    <s v="SIM"/>
    <m/>
  </r>
  <r>
    <x v="1"/>
    <d v="2024-02-24T00:00:00"/>
    <s v="EQUIPE PDT302"/>
    <x v="0"/>
    <x v="0"/>
    <s v="TRÂNSITO (COLISÃO, DANOS MATERIAIS) "/>
    <s v="A equipe retornava pela estrada de acesso ao povoado Santa Fé e ao chegar em uma curva foi surpreendida pelo motociclista Wanderson Martins de Araújo (não habilitado) que trafegava pela contra-mão e acabou colidindo sua motocicleta Honda Fan 160, placa NXO 7688 na parte frontal esquerda do caminhão"/>
    <s v="HUGO PORTELA"/>
    <s v="SIM"/>
    <s v="BARRA DO CORDA"/>
    <x v="0"/>
    <s v="LEVE"/>
    <s v="SEM AFASTAMENTO"/>
    <s v="NA"/>
    <d v="2024-02-24T00:00:00"/>
    <d v="2024-02-24T00:00:00"/>
    <n v="0"/>
    <s v="NO PRAZO"/>
    <d v="2024-02-25T00:00:00"/>
    <d v="2024-02-24T00:00:00"/>
    <n v="-1"/>
    <s v="NO PRAZO"/>
    <d v="2024-02-25T00:00:00"/>
    <d v="2024-02-25T00:00:00"/>
    <n v="0"/>
    <s v="NO PRAZO"/>
    <d v="2024-03-03T00:00:00"/>
    <d v="2024-03-03T00:00:00"/>
    <n v="0"/>
    <s v="NO PRAZO"/>
    <d v="2024-03-04T00:00:00"/>
    <d v="2024-03-04T00:00:00"/>
    <n v="0"/>
    <s v="NO PRAZO"/>
    <d v="2024-03-05T00:00:00"/>
    <d v="2024-03-05T00:00:00"/>
    <n v="0"/>
    <s v="NO PRAZO"/>
    <m/>
    <m/>
    <m/>
    <x v="2"/>
    <s v="SIM"/>
    <m/>
  </r>
  <r>
    <x v="1"/>
    <d v="2024-02-26T00:00:00"/>
    <s v="EQUIPE ITM554"/>
    <x v="7"/>
    <x v="0"/>
    <s v="CONTATO COM ELETRICIDADE"/>
    <s v="Não houve ação da equipe. Segundo eles, pois não perceberam a saída do alimentador._x000a_Com a chegada de uma equipe do plantão no local é foram informados da saída do equipamento._x000a_O supervisor responsável não foi informado pela equipe da situação ocorrida._x000a_O líder Equatorial informou ao coordenador sobre o evento e o motivo da saída do alimentador um dia depois._x000a_Coube ao coordenador informar ao supervisor, que estava em deslocamento para Itapecuru fazer acompanhamento de outras equipes de roço, do evento acontecido."/>
    <s v="FLAVIO LEANDRO"/>
    <s v="NÃO"/>
    <s v="TUNTUM"/>
    <x v="0"/>
    <s v="LEVE"/>
    <s v="SEM AFASTAMENTO"/>
    <s v="NA"/>
    <d v="2024-02-26T00:00:00"/>
    <d v="2024-02-26T00:00:00"/>
    <n v="0"/>
    <s v="NO PRAZO"/>
    <d v="2024-02-27T00:00:00"/>
    <d v="2024-02-24T00:00:00"/>
    <n v="-3"/>
    <s v="NO PRAZO"/>
    <d v="2024-02-27T00:00:00"/>
    <d v="2024-02-27T00:00:00"/>
    <n v="0"/>
    <s v="NO PRAZO"/>
    <d v="2024-03-05T00:00:00"/>
    <d v="2024-03-05T00:00:00"/>
    <n v="0"/>
    <s v="NO PRAZO"/>
    <d v="2024-03-06T00:00:00"/>
    <d v="2024-03-06T00:00:00"/>
    <n v="0"/>
    <s v="NO PRAZO"/>
    <d v="2024-03-07T00:00:00"/>
    <d v="2024-03-07T00:00:00"/>
    <n v="0"/>
    <s v="NO PRAZO"/>
    <m/>
    <m/>
    <m/>
    <x v="1"/>
    <s v="SIM"/>
    <m/>
  </r>
  <r>
    <x v="2"/>
    <d v="2024-03-15T00:00:00"/>
    <s v="EQUIPE PDS350"/>
    <x v="8"/>
    <x v="0"/>
    <s v="CONTATO COM ELETRICIDADE"/>
    <s v="Equipe realizava troca de chave fusível em tranformador e fechou curto circuito na bucha do transformador"/>
    <s v="JOÃO CLIMACO"/>
    <s v="NÃO "/>
    <s v="PEDREIRAS"/>
    <x v="3"/>
    <s v="LEVE"/>
    <s v="SEM AFASTAMENTO"/>
    <s v="NA"/>
    <d v="2024-03-15T00:00:00"/>
    <d v="2024-03-15T00:00:00"/>
    <n v="0"/>
    <s v="NO PRAZO"/>
    <d v="2024-03-16T00:00:00"/>
    <d v="2024-03-16T00:00:00"/>
    <n v="0"/>
    <s v="NO PRAZO"/>
    <d v="2024-03-16T00:00:00"/>
    <d v="2024-03-16T00:00:00"/>
    <n v="0"/>
    <s v="NO PRAZO"/>
    <d v="2024-03-23T00:00:00"/>
    <d v="2024-03-23T00:00:00"/>
    <n v="0"/>
    <s v="NO PRAZO"/>
    <d v="2024-03-24T00:00:00"/>
    <d v="2024-03-24T00:00:00"/>
    <n v="0"/>
    <s v="NO PRAZO"/>
    <d v="2024-03-25T00:00:00"/>
    <d v="2024-03-25T00:00:00"/>
    <n v="0"/>
    <s v="NO PRAZO"/>
    <m/>
    <m/>
    <m/>
    <x v="1"/>
    <s v="SIM"/>
    <m/>
  </r>
  <r>
    <x v="3"/>
    <d v="2024-04-09T00:00:00"/>
    <s v="MATEUS LIMA SANTOS"/>
    <x v="9"/>
    <x v="2"/>
    <s v="CONTATO COM ELETRICIDADE"/>
    <s v="Colaborador estava realizando a substituição de um ramal monofásico em uma unidade consumidora, ao concluir a instalação no medidor e pontalete em seguida foi realizar as conexões no poste. O empregado subiu na escada para tal e ao realizar o tensionamento do cabo para  alçar no poste da RD de BT Multiplexada não se atentou para o distanciamento deste com a RD de MT no cruzamento, o qual tocou acidentalmente na MT e por conseguinte recebeu um arco elétrico  vindo a sofrer queimaduras na região do tronco."/>
    <s v="JAMERSON MIRANDA"/>
    <s v="NÃO"/>
    <s v="ALTAMIRTA DO MARANHÃO"/>
    <x v="2"/>
    <s v="LEVE"/>
    <s v="COM AFASTAMENTO"/>
    <m/>
    <d v="2024-04-09T00:00:00"/>
    <d v="2024-04-10T00:00:00"/>
    <n v="1"/>
    <s v="ATRASADO"/>
    <d v="2024-04-10T00:00:00"/>
    <d v="2024-04-10T00:00:00"/>
    <n v="0"/>
    <s v="NO PRAZO"/>
    <d v="2024-04-10T00:00:00"/>
    <d v="2024-04-10T00:00:00"/>
    <n v="0"/>
    <s v="NO PRAZO"/>
    <d v="2024-04-17T00:00:00"/>
    <d v="2024-04-17T00:00:00"/>
    <n v="0"/>
    <s v="NO PRAZO"/>
    <d v="2024-04-18T00:00:00"/>
    <d v="2024-04-18T00:00:00"/>
    <n v="0"/>
    <s v="NO PRAZO"/>
    <d v="2024-04-19T00:00:00"/>
    <d v="2024-04-19T00:00:00"/>
    <n v="0"/>
    <s v="NO PRAZO"/>
    <d v="2024-05-06T00:00:00"/>
    <d v="2024-06-30T00:00:00"/>
    <m/>
    <x v="0"/>
    <s v="SIM"/>
    <m/>
  </r>
  <r>
    <x v="4"/>
    <d v="2024-05-03T00:00:00"/>
    <s v="FRANCISCO HEBERT DOS SANTOS ARRUDA"/>
    <x v="10"/>
    <x v="2"/>
    <s v="QUEDA NO MESMO NÍVEL (ESCORREGÃO E QUEDA, TROPEÇÃO) "/>
    <s v="Executando a nota de Ligação nova(1088958349) ao levar o cabo ramal para fazer a medição e posterior a conexão ao passar em uma sarjeta veio a escorregar e batendo sua perna na quina do meio fio causando um corte no musculo tibial anterior, resultando em 5 pontos."/>
    <s v="EVERTON SIQUEIRA"/>
    <s v="NÃO"/>
    <s v="PEDREIRAS"/>
    <x v="3"/>
    <s v="LEVE"/>
    <s v="SEM AFASTAMENTO"/>
    <s v="1.1 .0000000025718365954"/>
    <d v="2024-05-03T00:00:00"/>
    <d v="2024-05-03T00:00:00"/>
    <n v="0"/>
    <s v="NO PRAZO"/>
    <d v="2024-05-04T00:00:00"/>
    <d v="2024-05-06T00:00:00"/>
    <n v="2"/>
    <s v="ATRASADO"/>
    <d v="2024-05-04T00:00:00"/>
    <d v="2024-05-04T00:00:00"/>
    <n v="0"/>
    <s v="NO PRAZO"/>
    <d v="2024-05-11T00:00:00"/>
    <d v="2024-05-11T00:00:00"/>
    <n v="0"/>
    <s v="NO PRAZO"/>
    <d v="2024-05-12T00:00:00"/>
    <d v="2024-05-12T00:00:00"/>
    <n v="0"/>
    <s v="NO PRAZO"/>
    <d v="2024-05-13T00:00:00"/>
    <d v="2024-05-13T00:00:00"/>
    <n v="0"/>
    <s v="NO PRAZO"/>
    <m/>
    <m/>
    <m/>
    <x v="0"/>
    <s v="SIM"/>
    <m/>
  </r>
  <r>
    <x v="4"/>
    <d v="2024-05-17T00:00:00"/>
    <s v="LUIS EDUARDO FARIAS"/>
    <x v="11"/>
    <x v="0"/>
    <s v="CONTATO COM ELETRICIDADE"/>
    <s v="A equipe foi direcionada para realizar poda no Pov. Bom Jesus, bairro Arraial, para execução de obra UNP.0191. No local da obra existia uma rede clandestina, que já estava baixa. Ao realizar a poda, um dos galhos caiu sobre a rede clandestina, vindo a realizar contato entre o neutro nú (que estava com retorno de corrente), energizando a cerca de arame farpado. Neste momento, uma criança de 12 anos ao pendurar roupa no arame para secar, veio a tomar choque elétrico. A mãe ao ver o filho sendo eletrocutado, começou a gritar por socorro, quando os colaboradores perceberam o que tinha ocorrido, foram socorrer a criança, retirando-a do arame, levando-a a sua residência e realizando massagem cardíaca, abrindo a boca e desenrolando a língua. Aos poucos, a criança foi reanimada e voltando a sí. "/>
    <s v="JOÃO CLIMACO"/>
    <s v="SIM"/>
    <s v="LIMA CAMPOS"/>
    <x v="3"/>
    <s v="LEVE"/>
    <s v="SEM AFASTAMENTO"/>
    <s v="NA"/>
    <d v="2024-05-17T00:00:00"/>
    <d v="2024-05-17T00:00:00"/>
    <n v="0"/>
    <s v="NO PRAZO"/>
    <d v="2024-05-18T00:00:00"/>
    <d v="2024-05-18T00:00:00"/>
    <n v="0"/>
    <s v="NO PRAZO"/>
    <d v="2024-05-18T00:00:00"/>
    <d v="2024-05-18T00:00:00"/>
    <n v="0"/>
    <s v="NO PRAZO"/>
    <d v="2024-05-25T00:00:00"/>
    <d v="2024-05-25T00:00:00"/>
    <n v="0"/>
    <s v="NO PRAZO"/>
    <d v="2024-05-26T00:00:00"/>
    <d v="2024-05-25T00:00:00"/>
    <n v="-1"/>
    <s v="NO PRAZO"/>
    <d v="2024-05-27T00:00:00"/>
    <d v="2024-05-25T00:00:00"/>
    <n v="-2"/>
    <s v="NO PRAZO"/>
    <m/>
    <m/>
    <m/>
    <x v="1"/>
    <s v="SIM"/>
    <m/>
  </r>
  <r>
    <x v="4"/>
    <d v="2024-05-24T00:00:00"/>
    <s v="DARLEY MORAIS DA SILVA"/>
    <x v="12"/>
    <x v="0"/>
    <s v="PEGO ENTRE OU SOB (ESMAGADO, AMPUTADO)"/>
    <s v="Equipe realizava atividade de lançamento de cabo multiplexado na obra REG-0009 em Paulo Ramos, quando o colaborador Danrley Morais da Silva fez a conexão do estribo no neutro no final da BT e quando foi fazer a conexão do neutro com o aterramento, também com o uso da ferramenta Ampact, essa disparou acidentalmente causando uma lesão no dedo indicador esquerdo."/>
    <s v="MESSIAS ABREU"/>
    <s v="NÃO"/>
    <s v="PAULO RAMOS"/>
    <x v="3"/>
    <s v="LEVE"/>
    <s v="SEM AFASTAMENTO"/>
    <s v="1.1.0000000026040586219"/>
    <d v="2024-05-24T00:00:00"/>
    <d v="2024-05-24T00:00:00"/>
    <n v="0"/>
    <s v="NO PRAZO"/>
    <d v="2024-05-25T00:00:00"/>
    <d v="2024-05-25T00:00:00"/>
    <n v="0"/>
    <s v="NO PRAZO"/>
    <d v="2024-05-25T00:00:00"/>
    <d v="2024-05-25T00:00:00"/>
    <n v="0"/>
    <s v="NO PRAZO"/>
    <d v="2024-06-01T00:00:00"/>
    <d v="2024-05-30T00:00:00"/>
    <n v="-2"/>
    <s v="NO PRAZO"/>
    <d v="2024-06-02T00:00:00"/>
    <d v="2024-06-01T00:00:00"/>
    <n v="-1"/>
    <s v="NO PRAZO"/>
    <d v="2024-06-03T00:00:00"/>
    <d v="2024-06-01T00:00:00"/>
    <n v="-2"/>
    <s v="NO PRAZO"/>
    <m/>
    <m/>
    <m/>
    <x v="0"/>
    <s v="SIM"/>
    <m/>
  </r>
  <r>
    <x v="4"/>
    <d v="2024-05-28T00:00:00"/>
    <s v="EVALDO DA SILVA PREGO"/>
    <x v="13"/>
    <x v="1"/>
    <s v="QUEDA EM ALTURA MENOR QUE &lt; 2 METROS  "/>
    <s v="Durante inspeção em uma unidade consumidora (UC), a equipe PDS805 instalou a escada no beiral da residência para acessar o pontalete. O eletricista I subiu na escada e pediu ao eletricista II, que estava segurando a escada embaixo, para ir até a viatura buscar uma alça. Nesse momento, a escada deslizou, causando a queda do eletricista."/>
    <s v="ANTONIO MARCOS"/>
    <s v="NÃO"/>
    <s v="IGARAPÉ GRANDE"/>
    <x v="3"/>
    <s v="LEVE"/>
    <s v="COM AFASTAMENTO"/>
    <s v="NA"/>
    <d v="2024-05-28T00:00:00"/>
    <m/>
    <n v="846"/>
    <s v="ATRASADO"/>
    <d v="2024-05-29T00:00:00"/>
    <m/>
    <n v="845"/>
    <s v="ATRASADO"/>
    <d v="2024-05-29T00:00:00"/>
    <m/>
    <n v="845"/>
    <s v="ATRASADO"/>
    <d v="2024-06-05T00:00:00"/>
    <m/>
    <n v="838"/>
    <s v="ATRASADO"/>
    <d v="2024-06-06T00:00:00"/>
    <m/>
    <n v="837"/>
    <s v="ATRASADO"/>
    <d v="2024-06-07T00:00:00"/>
    <m/>
    <n v="836"/>
    <s v="ATRASADO"/>
    <m/>
    <m/>
    <m/>
    <x v="0"/>
    <s v="SIM"/>
    <m/>
  </r>
  <r>
    <x v="5"/>
    <d v="2024-06-19T00:00:00"/>
    <s v="LUCAS SOUSA DE CARVALHO"/>
    <x v="14"/>
    <x v="0"/>
    <s v="QUEDA NO MESMO NÍVEL (ESCORREGÃO E QUEDA, TROPEÇÃO) "/>
    <s v="Equipe PDS551 estava realizando poda no comp 1160842 alimentador PDS01C2, quando o colaborador Lucas Sousa de Carvalho , foi podar uma palha de Palmeira com a foice e ao puxar a foice , se desequilibrou e caiu, vindo a machucar as costas,  o mesmo foi encaminhado para o hospital , o mesmo foi medicado e pegou 3 pontos no ferimento."/>
    <s v="JOÃO CLIMACO"/>
    <s v="NÃO"/>
    <s v="TRIZIDELA DO VALE"/>
    <x v="3"/>
    <s v="LEVE"/>
    <s v="SEM AFASTAMENTO"/>
    <s v="NA"/>
    <d v="2024-06-19T00:00:00"/>
    <d v="2024-06-18T00:00:00"/>
    <n v="-1"/>
    <s v="NO PRAZO"/>
    <d v="2024-06-20T00:00:00"/>
    <d v="2024-06-20T00:00:00"/>
    <n v="0"/>
    <s v="NO PRAZO"/>
    <d v="2024-06-20T00:00:00"/>
    <d v="2024-06-20T00:00:00"/>
    <n v="0"/>
    <s v="NO PRAZO"/>
    <d v="2024-06-27T00:00:00"/>
    <d v="2024-05-26T00:00:00"/>
    <n v="-32"/>
    <s v="NO PRAZO"/>
    <d v="2024-06-28T00:00:00"/>
    <m/>
    <n v="815"/>
    <s v="ATRASADO"/>
    <d v="2024-06-29T00:00:00"/>
    <m/>
    <n v="814"/>
    <s v="ATRASADO"/>
    <m/>
    <m/>
    <m/>
    <x v="0"/>
    <s v="SIM"/>
    <m/>
  </r>
  <r>
    <x v="6"/>
    <d v="2024-07-04T00:00:00"/>
    <s v="EQUIPE STI013"/>
    <x v="15"/>
    <x v="2"/>
    <s v="TRÂNSITO (COLISÃO, DANOS MATERIAIS) "/>
    <s v="Equipe STI013 estava realizando atividade de suspensão de fornecimento de energia na cidade de Pindaré Mirim. Após finalizar a nota 1091354223, a equipe se deslocou para nota 1091359485, quando nesse deslocamento a equipe colidiu em um motoqueiro no cruzamento de duas ruas. Equipe prestou socorro para vítima, ligou para liderança informando o evento. Vítima foi atendida no hospital e logo após liberada pelo médico. Apenas danos materiais na moto do terceiro."/>
    <s v="JOSÉ LUCAS"/>
    <s v="SIM"/>
    <s v="PINDARÉ MIRIM"/>
    <x v="1"/>
    <s v="LEVE"/>
    <s v="SEM AFASTAMENTO"/>
    <s v="NA"/>
    <d v="2024-07-04T00:00:00"/>
    <d v="2024-07-04T00:00:00"/>
    <n v="0"/>
    <s v="NO PRAZO"/>
    <d v="2024-07-05T00:00:00"/>
    <d v="2024-07-05T00:00:00"/>
    <n v="0"/>
    <s v="NO PRAZO"/>
    <d v="2024-07-05T00:00:00"/>
    <m/>
    <n v="808"/>
    <s v="ATRASADO"/>
    <d v="2024-07-12T00:00:00"/>
    <m/>
    <n v="801"/>
    <s v="ATRASADO"/>
    <d v="2024-07-13T00:00:00"/>
    <m/>
    <n v="800"/>
    <s v="ATRASADO"/>
    <d v="2024-07-14T00:00:00"/>
    <m/>
    <n v="799"/>
    <s v="ATRASADO"/>
    <m/>
    <m/>
    <m/>
    <x v="2"/>
    <s v="SIM"/>
    <m/>
  </r>
  <r>
    <x v="6"/>
    <d v="2024-07-12T00:00:00"/>
    <s v="EQUIPE STI303"/>
    <x v="16"/>
    <x v="0"/>
    <s v="PEGO ENTRE OU SOB (ESMAGADO, AMPUTADO)"/>
    <s v="A equipe STI303, realizava o carregamento de Cruzeta Beco de Concreto para a obra PEP-DIF. 0031, quando dois empregados ao posicionar uma cruzeta L na borda da carroceria do caminhão prensou o dedo polegar da mão direita entre a cruzeta e a carroceria. Após o acidente o empregado foi encaminhado para atendimento médico no hospital de Pindaré Mirim."/>
    <s v="MIKEIAS VELOSO"/>
    <s v="NÃO"/>
    <s v="SANTA INÊS"/>
    <x v="1"/>
    <s v="LEVE"/>
    <s v="SEM AFASTAMENTO"/>
    <s v="1.1.0000000026947772343"/>
    <d v="2024-07-12T00:00:00"/>
    <d v="2024-07-12T00:00:00"/>
    <n v="0"/>
    <s v="NO PRAZO"/>
    <d v="2024-07-13T00:00:00"/>
    <d v="2024-07-13T00:00:00"/>
    <n v="0"/>
    <s v="NO PRAZO"/>
    <d v="2024-07-13T00:00:00"/>
    <d v="2024-07-13T00:00:00"/>
    <n v="0"/>
    <s v="NO PRAZO"/>
    <d v="2024-07-20T00:00:00"/>
    <d v="2024-07-20T00:00:00"/>
    <n v="0"/>
    <s v="NO PRAZO"/>
    <d v="2024-07-21T00:00:00"/>
    <d v="2024-07-21T00:00:00"/>
    <n v="0"/>
    <s v="NO PRAZO"/>
    <d v="2024-07-22T00:00:00"/>
    <d v="2024-07-22T00:00:00"/>
    <n v="0"/>
    <s v="NO PRAZO"/>
    <m/>
    <m/>
    <m/>
    <x v="0"/>
    <s v="SIM"/>
    <m/>
  </r>
  <r>
    <x v="6"/>
    <d v="2024-07-17T00:00:00"/>
    <s v="LUCIANO JUNIOR MARQUES DE LEMOS JUNIOR"/>
    <x v="17"/>
    <x v="0"/>
    <s v="QUEDA EM ALTURA MENOR QUE &lt; 2 METROS  "/>
    <s v="A equipe STI400 ao retornar de Alto Alegre do Pindaré para base de Santa Inês, o condutor Luciano Marques de Lemos Júnior fez uma parada no percurso para ir ao sanitário  e ao desembarcar do caminhão torceu o pé direito que inchou de imediato"/>
    <s v="MIKEIAS VELOSO"/>
    <s v="NÃO"/>
    <s v="SANTA INÊS"/>
    <x v="1"/>
    <s v="LEVE"/>
    <s v="COM AFASTAMENTO"/>
    <n v="1.10000000026988E+20"/>
    <d v="2024-07-17T00:00:00"/>
    <d v="2024-07-17T00:00:00"/>
    <n v="0"/>
    <s v="NO PRAZO"/>
    <d v="2024-07-18T00:00:00"/>
    <d v="2024-07-19T00:00:00"/>
    <n v="1"/>
    <s v="ATRASADO"/>
    <d v="2024-07-18T00:00:00"/>
    <d v="2024-07-18T00:00:00"/>
    <n v="0"/>
    <s v="NO PRAZO"/>
    <d v="2024-07-25T00:00:00"/>
    <d v="2024-07-25T00:00:00"/>
    <n v="0"/>
    <s v="NO PRAZO"/>
    <d v="2024-07-26T00:00:00"/>
    <d v="2024-07-26T00:00:00"/>
    <n v="0"/>
    <s v="NO PRAZO"/>
    <d v="2024-07-27T00:00:00"/>
    <d v="2024-07-27T00:00:00"/>
    <n v="0"/>
    <s v="NO PRAZO"/>
    <m/>
    <m/>
    <m/>
    <x v="0"/>
    <s v="SIM"/>
    <m/>
  </r>
  <r>
    <x v="6"/>
    <d v="2024-07-31T00:00:00"/>
    <s v="FLAVIO SILVA AZEVEDO"/>
    <x v="17"/>
    <x v="0"/>
    <s v="TRÂNSITO (COLISÃO, DANOS MATERIAIS) "/>
    <s v="No percurso da obra a equipe parou para certificar o PG do poste onde seria executado o Serviço e ao realizar manobra de marcha ré colidiu com terceiro que estava parado atras do caminhão.  "/>
    <s v="MIKEIAS VELOSO"/>
    <s v="SIM"/>
    <s v="SANTA INÊS"/>
    <x v="1"/>
    <s v="LEVE"/>
    <s v="SEM AFASTAMENTO"/>
    <s v="NA"/>
    <d v="2024-07-31T00:00:00"/>
    <d v="2024-07-31T00:00:00"/>
    <n v="0"/>
    <s v="NO PRAZO"/>
    <d v="2024-08-01T00:00:00"/>
    <d v="2024-08-01T00:00:00"/>
    <n v="0"/>
    <s v="NO PRAZO"/>
    <d v="2024-08-01T00:00:00"/>
    <d v="2024-08-01T00:00:00"/>
    <n v="0"/>
    <s v="NO PRAZO"/>
    <d v="2024-08-08T00:00:00"/>
    <d v="2024-08-08T00:00:00"/>
    <n v="0"/>
    <s v="NO PRAZO"/>
    <d v="2024-08-09T00:00:00"/>
    <d v="2024-08-09T00:00:00"/>
    <n v="0"/>
    <s v="NO PRAZO"/>
    <d v="2024-08-10T00:00:00"/>
    <d v="2024-08-10T00:00:00"/>
    <n v="0"/>
    <s v="NO PRAZO"/>
    <m/>
    <m/>
    <m/>
    <x v="2"/>
    <s v="SIM"/>
    <m/>
  </r>
  <r>
    <x v="7"/>
    <d v="2024-08-01T00:00:00"/>
    <s v="NATANAEL BARROS CARVALHO"/>
    <x v="18"/>
    <x v="1"/>
    <s v="CONTATO COM ELETRICIDADE"/>
    <s v="A equipe estava realizando a troca do ramal da instalação: 2000007421, localizada na rua:13 de outubro, Bairro vila coelho dias. Essa atividade estava sendo acompanhada pelo Técnico de Segurança da Equatorial, quando o eletricista I após já está posicionado para fazer a conexão do neutro, se movimentou na escada, houve um curto na estrutura, antes da realização da conexão, apesar do curto, a equipe continuou a atividade, decidindo iniciar a conexão, mas ainda houve um segundo curto, o que levou a equipe à investigar qual o motivo do curto e identificar que os condutores do relé da iluminação pública, estavam causando tal situação. Ao identificar a situação, o eletricista desceu e fez a desconexão do fase do relé para poder continuar executando a conexão do ramal do cliente."/>
    <s v="ANTONIO MARCOS SALAZAR"/>
    <s v="NÃO"/>
    <s v="BACABAL"/>
    <x v="3"/>
    <s v="LEVE"/>
    <s v="SEM AFASTAMENTO"/>
    <s v="NA"/>
    <d v="2024-08-01T00:00:00"/>
    <d v="2024-08-01T00:00:00"/>
    <n v="0"/>
    <s v="NO PRAZO"/>
    <d v="2024-08-02T00:00:00"/>
    <d v="2024-08-02T00:00:00"/>
    <n v="0"/>
    <s v="NO PRAZO"/>
    <d v="2024-08-02T00:00:00"/>
    <d v="2024-08-02T00:00:00"/>
    <n v="0"/>
    <s v="NO PRAZO"/>
    <d v="2024-08-09T00:00:00"/>
    <d v="2024-08-09T00:00:00"/>
    <n v="0"/>
    <s v="NO PRAZO"/>
    <d v="2024-08-10T00:00:00"/>
    <d v="2024-08-10T00:00:00"/>
    <n v="0"/>
    <s v="NO PRAZO"/>
    <d v="2024-08-11T00:00:00"/>
    <d v="2024-08-11T00:00:00"/>
    <n v="0"/>
    <s v="NO PRAZO"/>
    <m/>
    <m/>
    <m/>
    <x v="1"/>
    <s v="SIM"/>
    <m/>
  </r>
  <r>
    <x v="7"/>
    <d v="2024-08-13T00:00:00"/>
    <s v="AMAURI REIS ARAUJO ALGO"/>
    <x v="14"/>
    <x v="0"/>
    <s v="TRÂNSITO (COLISÃO, DANOS MATERIAIS) "/>
    <s v="A equipe estava se deslocando de Lago da Pedra para o Povoado caneleiro em Bernardo do Mearim para trabalhar na obra SEG002, quando ao chegar no Povoado Barraquinha , dois jumentos vinha correndo e um deles colidiu com o caminhão de placa RZR1G10, apenas danos materiais na viatura."/>
    <s v="JOÃO CLIMACO"/>
    <s v="NÃO"/>
    <s v="PEDREIRAS"/>
    <x v="3"/>
    <s v="LEVE"/>
    <s v="SEM AFASTAMENTO"/>
    <s v="NA"/>
    <d v="2024-08-13T00:00:00"/>
    <d v="2024-08-14T00:00:00"/>
    <n v="1"/>
    <s v="ATRASADO"/>
    <d v="2024-08-14T00:00:00"/>
    <d v="2024-08-14T00:00:00"/>
    <n v="0"/>
    <s v="NO PRAZO"/>
    <d v="2024-08-14T00:00:00"/>
    <d v="2024-08-14T00:00:00"/>
    <n v="0"/>
    <s v="NO PRAZO"/>
    <d v="2024-08-21T00:00:00"/>
    <d v="2024-08-21T00:00:00"/>
    <n v="0"/>
    <s v="NO PRAZO"/>
    <d v="2024-08-22T00:00:00"/>
    <d v="2024-08-22T00:00:00"/>
    <n v="0"/>
    <s v="NO PRAZO"/>
    <d v="2024-08-23T00:00:00"/>
    <d v="2024-08-23T00:00:00"/>
    <n v="0"/>
    <s v="NO PRAZO"/>
    <m/>
    <m/>
    <m/>
    <x v="2"/>
    <s v="SIM"/>
    <m/>
  </r>
  <r>
    <x v="7"/>
    <d v="2024-08-16T00:00:00"/>
    <s v="JOSÉ ROBERTO VIANA"/>
    <x v="8"/>
    <x v="0"/>
    <s v="CONTATO COM ELETRICIDADE"/>
    <s v="Equipe de Linha Viva PDS350estava fazendo uma emenda no alimentador PDS01C4 para implantar um poste, quando ao retirar a catraca após a conclusão da emenda,  o cabo cedeu e tocou em uma rede de baixa tensão que estava a uns 120 metro de distância deles, não houve nem tipo de dano, apenas o alimentador que saiu."/>
    <s v="JOÃO CLIMACO"/>
    <s v="NÃO"/>
    <s v="TRIZIDELA DO VALE"/>
    <x v="3"/>
    <s v="LEVE"/>
    <s v="SEM AFASTAMENTO"/>
    <s v="NA"/>
    <d v="2024-08-16T00:00:00"/>
    <d v="2024-08-16T00:00:00"/>
    <n v="0"/>
    <s v="NO PRAZO"/>
    <d v="2024-08-17T00:00:00"/>
    <d v="2024-08-17T00:00:00"/>
    <n v="0"/>
    <s v="NO PRAZO"/>
    <d v="2024-08-17T00:00:00"/>
    <d v="2024-08-17T00:00:00"/>
    <n v="0"/>
    <s v="NO PRAZO"/>
    <d v="2024-08-24T00:00:00"/>
    <d v="2024-08-24T00:00:00"/>
    <n v="0"/>
    <s v="NO PRAZO"/>
    <d v="2024-08-25T00:00:00"/>
    <d v="2024-08-25T00:00:00"/>
    <n v="0"/>
    <s v="NO PRAZO"/>
    <d v="2024-08-26T00:00:00"/>
    <d v="2024-08-26T00:00:00"/>
    <n v="0"/>
    <s v="NO PRAZO"/>
    <m/>
    <m/>
    <m/>
    <x v="1"/>
    <s v="SIM"/>
    <m/>
  </r>
  <r>
    <x v="7"/>
    <d v="2024-08-19T00:00:00"/>
    <s v="JOSÉ PEDRO GONÇALVES MOURA"/>
    <x v="19"/>
    <x v="0"/>
    <s v="CONTATO COM ELETRICIDADE"/>
    <s v="Equipe estava trabalhando nas proximidades do alimentador VRF01C5 executando poda de árvores, a equipe podava um dos galhos de uma palmeira que estava em proximidades com a rede de energia elétrica e no momento do corte a palha foi projetada para cima do circuito vindo a fechar curto entre fases, ocasionando assim o rompimento do condutor da fase C."/>
    <s v="WERBETH RODRIGUES"/>
    <s v="NÃO"/>
    <s v="SANTA INÊS"/>
    <x v="1"/>
    <s v="LEVE"/>
    <s v="SEM AFASTAMENTO"/>
    <s v="NA"/>
    <d v="2024-08-19T00:00:00"/>
    <d v="2024-08-19T00:00:00"/>
    <n v="0"/>
    <s v="NO PRAZO"/>
    <d v="2024-08-20T00:00:00"/>
    <d v="2024-08-20T00:00:00"/>
    <n v="0"/>
    <s v="NO PRAZO"/>
    <d v="2024-08-20T00:00:00"/>
    <d v="2024-08-20T00:00:00"/>
    <n v="0"/>
    <s v="NO PRAZO"/>
    <d v="2024-08-27T00:00:00"/>
    <d v="2024-08-27T00:00:00"/>
    <n v="0"/>
    <s v="NO PRAZO"/>
    <d v="2024-08-28T00:00:00"/>
    <m/>
    <n v="754"/>
    <s v="ATRASADO"/>
    <d v="2024-08-29T00:00:00"/>
    <m/>
    <n v="753"/>
    <s v="ATRASADO"/>
    <m/>
    <m/>
    <m/>
    <x v="1"/>
    <s v="SIM"/>
    <m/>
  </r>
  <r>
    <x v="7"/>
    <d v="2024-08-23T00:00:00"/>
    <s v="MATEUS DAVIS DE OLIVEIRA CARNEIRO"/>
    <x v="20"/>
    <x v="0"/>
    <s v="QUEDA NO MESMO NÍVEL (ESCORREGÃO E QUEDA, TROPEÇÃO) "/>
    <s v="Durante a cava do buraco para a implantação do último poste programado, o colaborador que estava orientando o munckeiro na manobra do trado, se desequilibrou e caiu sobre tocos fincados ao solo. No ato de apoiar a mão no_x000a_chão, durante a queda, o colaborador teve a parte anterior no braço direito perfurada por um desses tocos, ocasionando em um corte _x000a_moderado. O colaborador foi encaminhado para o pronto-socorro, onde foram realizados os procedimentos médicos necessários, _x000a_que resultaram em uma sutura de oito pontos para fechar o corte. Ao saber do ocorrido o coordenador se dirigiu, junto do técnico _x000a_de obras, para o local do acidente, onde foram colhidos os relatos e evidencias do acidente."/>
    <s v="Marcos Andrade"/>
    <s v="NÃO"/>
    <s v="BARRA DO CORDA"/>
    <x v="4"/>
    <s v="LEVE"/>
    <s v="SEM AFASTAMENTO"/>
    <s v="1.1.0000000027541099390"/>
    <d v="2024-08-23T00:00:00"/>
    <d v="2024-08-23T00:00:00"/>
    <n v="0"/>
    <s v="NO PRAZO"/>
    <d v="2024-08-24T00:00:00"/>
    <d v="2024-08-24T00:00:00"/>
    <n v="0"/>
    <s v="NO PRAZO"/>
    <d v="2024-08-24T00:00:00"/>
    <d v="2024-08-24T00:00:00"/>
    <n v="0"/>
    <s v="NO PRAZO"/>
    <d v="2024-08-31T00:00:00"/>
    <d v="2024-08-31T00:00:00"/>
    <n v="0"/>
    <s v="NO PRAZO"/>
    <d v="2024-09-01T00:00:00"/>
    <d v="2024-09-01T00:00:00"/>
    <n v="0"/>
    <s v="NO PRAZO"/>
    <d v="2024-09-02T00:00:00"/>
    <m/>
    <n v="749"/>
    <s v="ATRASADO"/>
    <m/>
    <m/>
    <m/>
    <x v="0"/>
    <s v="SIM"/>
    <m/>
  </r>
  <r>
    <x v="8"/>
    <d v="2024-09-12T00:00:00"/>
    <s v="HERBETHE FRANKLIN BESSA DE MORAES"/>
    <x v="21"/>
    <x v="2"/>
    <s v="DANOS A PROPIEDADE"/>
    <s v="Equipe STI016 se deslocava para o primeiro serviço do dia as 08:01 dessa manhã, quando aproximadamente 01 KM da base a equipe percebeu que viatura perdeu força. Equipe  estacionou no acostamento para verificar o ocorrido, ao descer do carro percebeu que havia fumaça e uma labareda de fogo próximo a roda dianteira do lado direito do carro, equipe de imediato ligou para a liderança, fomos até o local com os extintores mas não chegamos a tempo para apagar o princípio do fogo."/>
    <s v="JOSÉ LUCAS"/>
    <s v="NÃO"/>
    <s v="SANTA INES"/>
    <x v="1"/>
    <s v="LEVE"/>
    <s v="INCIDENTE"/>
    <s v="NA"/>
    <d v="2024-09-12T00:00:00"/>
    <d v="2024-09-12T00:00:00"/>
    <n v="0"/>
    <s v="NO PRAZO"/>
    <d v="2024-09-13T00:00:00"/>
    <m/>
    <n v="738"/>
    <s v="ATRASADO"/>
    <d v="2024-09-13T00:00:00"/>
    <m/>
    <n v="738"/>
    <s v="ATRASADO"/>
    <d v="2024-09-20T00:00:00"/>
    <m/>
    <n v="731"/>
    <s v="ATRASADO"/>
    <d v="2024-09-21T00:00:00"/>
    <m/>
    <n v="730"/>
    <s v="ATRASADO"/>
    <d v="2024-09-22T00:00:00"/>
    <m/>
    <n v="729"/>
    <s v="ATRASADO"/>
    <m/>
    <m/>
    <m/>
    <x v="3"/>
    <s v="SIM"/>
    <m/>
  </r>
  <r>
    <x v="8"/>
    <d v="2024-09-17T00:00:00"/>
    <s v="SILVANO JOSÉ DOS PRAZRES"/>
    <x v="22"/>
    <x v="0"/>
    <s v="GOLPEADO POR (ATINGIDO POR OBJETO EM MOVIMENTO)"/>
    <s v="Por volta das 15:50hs ao executarem poda de árvores o equipamento motopoda teve um problema na corrente e precisaria regular para concluir a atividade, como faltava uma única árvore para ser podada o encarregado da equipe tomou a decisão de executar ele mesmo a poda com o facão, momento em que golpeou o próprio pulso esquerdo ao manusear o facão."/>
    <s v="WERBERTH RODRIGUES"/>
    <s v="NÃO"/>
    <s v="ARARI"/>
    <x v="5"/>
    <s v="LEVE"/>
    <s v="SEM AFASTAMENTO"/>
    <s v="1.1.0000000028071228742"/>
    <d v="2024-09-17T00:00:00"/>
    <d v="2024-09-17T00:00:00"/>
    <n v="0"/>
    <s v="NO PRAZO"/>
    <d v="2024-09-18T00:00:00"/>
    <d v="2024-09-18T00:00:00"/>
    <n v="0"/>
    <s v="NO PRAZO"/>
    <d v="2024-09-18T00:00:00"/>
    <d v="2024-09-18T00:00:00"/>
    <n v="0"/>
    <s v="NO PRAZO"/>
    <d v="2024-09-25T00:00:00"/>
    <d v="2024-09-25T00:00:00"/>
    <n v="0"/>
    <s v="NO PRAZO"/>
    <d v="2024-09-26T00:00:00"/>
    <d v="2024-09-26T00:00:00"/>
    <n v="0"/>
    <s v="NO PRAZO"/>
    <d v="2024-09-27T00:00:00"/>
    <d v="2024-09-27T00:00:00"/>
    <n v="0"/>
    <s v="NO PRAZO"/>
    <m/>
    <m/>
    <m/>
    <x v="0"/>
    <s v="SIM"/>
    <m/>
  </r>
  <r>
    <x v="9"/>
    <d v="2024-10-17T00:00:00"/>
    <s v="RANYELSON DO NASCIMENTO"/>
    <x v="23"/>
    <x v="3"/>
    <s v="GOLPEADO POR (ATINGIDO POR OBJETO EM MOVIMENTO)"/>
    <s v="Colaborador 01 (acidentado) estava realizando carregamento de materiais junto com os demais integrantes do almoxarifado, quando solicitou a Cinta de elevação para o outro componente da equipe que estava em cima do caminhão. O componente da equipe que estava em cima do caminhão entregou a cinta (imagem 01), mas o colaborador 01 não se atentou e segurou somente em um lado da cinta de elevação, fazendo com que o gancho na outra extremidade se soltasse (imagem 02) e atingisse a sua boca. Houve uma pequena quebra do dente."/>
    <s v="JACKSON KENTELLY"/>
    <s v="NÃO"/>
    <s v="BACABAL"/>
    <x v="2"/>
    <s v="LEVE"/>
    <s v="SEM AFASTAMENTO"/>
    <s v="1.1.0000000028508135867"/>
    <d v="2024-10-17T00:00:00"/>
    <d v="2024-10-17T00:00:00"/>
    <n v="0"/>
    <s v="NO PRAZO"/>
    <d v="2024-10-18T00:00:00"/>
    <d v="2024-10-18T00:00:00"/>
    <n v="0"/>
    <s v="NO PRAZO"/>
    <d v="2024-10-18T00:00:00"/>
    <d v="2024-09-18T00:00:00"/>
    <n v="-30"/>
    <s v="NO PRAZO"/>
    <d v="2024-10-25T00:00:00"/>
    <d v="2024-10-25T00:00:00"/>
    <n v="0"/>
    <s v="NO PRAZO"/>
    <d v="2024-10-26T00:00:00"/>
    <d v="2024-10-26T00:00:00"/>
    <n v="0"/>
    <s v="NO PRAZO"/>
    <d v="2024-10-27T00:00:00"/>
    <d v="2024-10-27T00:00:00"/>
    <n v="0"/>
    <s v="NO PRAZO"/>
    <m/>
    <m/>
    <m/>
    <x v="0"/>
    <s v="SIM"/>
    <m/>
  </r>
  <r>
    <x v="9"/>
    <d v="2024-10-18T00:00:00"/>
    <s v="JOÃO PEDRO"/>
    <x v="18"/>
    <x v="1"/>
    <s v="TRÂNSITO (COLISÃO, DANOS MATERIAIS) "/>
    <s v="A equipe PDS-F008, após concluir seu último serviço na IN: 12880154, no povoado Ladeira do Gato, as 16:30, dirigiu-se para a cidade de Vitorino. Durante o trajeto, ao enfrentar uma curva fechada em uma subida, uma motocicleta Bros, de placa NHL 2110, conduzida por uma motorista não habilitada e não estava usando capacete, surgiu no sentido contrário. Ao tentar desviar de um buraco, a condutora colidiu com o retrovisor da viatura, perdendo o controle e caindo da moto."/>
    <s v="ANTONIO MARCOS SALAZAR"/>
    <s v="SIM"/>
    <s v="VITORINO FREIRE"/>
    <x v="2"/>
    <s v="LEVE"/>
    <s v="INCIDENTE"/>
    <s v="NA"/>
    <d v="2024-10-18T00:00:00"/>
    <d v="2024-10-18T00:00:00"/>
    <n v="0"/>
    <s v="NO PRAZO"/>
    <d v="2024-10-19T00:00:00"/>
    <d v="2024-10-19T00:00:00"/>
    <n v="0"/>
    <s v="NO PRAZO"/>
    <d v="2024-10-19T00:00:00"/>
    <d v="2024-10-19T00:00:00"/>
    <n v="0"/>
    <s v="NO PRAZO"/>
    <d v="2024-10-26T00:00:00"/>
    <d v="2024-10-26T00:00:00"/>
    <n v="0"/>
    <s v="NO PRAZO"/>
    <d v="2024-10-27T00:00:00"/>
    <d v="2024-10-27T00:00:00"/>
    <n v="0"/>
    <s v="NO PRAZO"/>
    <d v="2024-10-28T00:00:00"/>
    <d v="2024-10-28T00:00:00"/>
    <n v="0"/>
    <s v="NO PRAZO"/>
    <m/>
    <m/>
    <m/>
    <x v="2"/>
    <s v="SIM"/>
    <m/>
  </r>
  <r>
    <x v="9"/>
    <d v="2024-10-19T00:00:00"/>
    <s v="MAYKON MELO CONCEIÇÃO"/>
    <x v="24"/>
    <x v="0"/>
    <s v="DANOS A PROPIEDADE"/>
    <s v="A equipe ITM302 foi acionada para atendimento da NR 41405 no interior do município de Vargem Grande. Ao tentar acessar o local pelo primeiro caminho, a equipe não conseguiu devido à presença de tubulações quebradas na estrada. Após retornar, optaram por um segundo caminho, onde havia outra tubulação de concreto coberta por terra, não visível ao condutor. Ao passar sobre essa tubulação, ela se rompeu, afundando a roda traseira do caminhão, que inclinou-se para a esquerda e tombou lateralmente. Não houve lesões entre os colaboradores que estavam no caminhão."/>
    <s v="RAIMUNDO NONATO"/>
    <s v="NÃO"/>
    <s v="VARGEM GRANDE"/>
    <x v="5"/>
    <s v="LEVE"/>
    <s v="INCIDENTE"/>
    <s v="NA"/>
    <d v="2024-10-19T00:00:00"/>
    <d v="2024-10-19T00:00:00"/>
    <n v="0"/>
    <s v="NO PRAZO"/>
    <d v="2024-10-20T00:00:00"/>
    <d v="2024-10-20T00:00:00"/>
    <n v="0"/>
    <s v="NO PRAZO"/>
    <d v="2024-10-20T00:00:00"/>
    <d v="2024-10-20T00:00:00"/>
    <n v="0"/>
    <s v="NO PRAZO"/>
    <d v="2024-10-27T00:00:00"/>
    <d v="2024-10-27T00:00:00"/>
    <n v="0"/>
    <s v="NO PRAZO"/>
    <d v="2024-10-28T00:00:00"/>
    <d v="2024-10-28T00:00:00"/>
    <n v="0"/>
    <s v="NO PRAZO"/>
    <d v="2024-10-29T00:00:00"/>
    <d v="2024-10-29T00:00:00"/>
    <n v="0"/>
    <s v="NO PRAZO"/>
    <m/>
    <m/>
    <m/>
    <x v="2"/>
    <s v="SIM"/>
    <m/>
  </r>
  <r>
    <x v="10"/>
    <d v="2024-11-13T00:00:00"/>
    <s v="MADSON BARROS DE SOUSA"/>
    <x v="25"/>
    <x v="0"/>
    <s v="TRÂNSITO (TRAJETO)"/>
    <s v="Ao deslocar-se à empresa para iniciar o dia de trabalho, por volta das 07:30h, 02 colaboradores da GOMAN, que trafegavam de moto (PTQ9457), foram atingidos por um carro (FUD7A22) que aparentemente tentou entrar em uma via pela contramão. Devido a colisão, os 02 colaboradores da GOMAN foram arremessados ao chão."/>
    <s v="EDDY SANTOS"/>
    <s v="SIM"/>
    <s v="PRESIDENTE DUTRA"/>
    <x v="0"/>
    <s v="LEVE"/>
    <s v="SEM AFASTAMENTO"/>
    <s v="1.1.0000000029013615442"/>
    <d v="2024-11-13T00:00:00"/>
    <d v="2024-10-13T00:00:00"/>
    <n v="-31"/>
    <s v="NO PRAZO"/>
    <d v="2024-11-14T00:00:00"/>
    <d v="2024-11-14T00:00:00"/>
    <n v="0"/>
    <s v="NO PRAZO"/>
    <d v="2024-11-14T00:00:00"/>
    <d v="2024-11-14T00:00:00"/>
    <n v="0"/>
    <s v="NO PRAZO"/>
    <d v="2024-11-21T00:00:00"/>
    <d v="2024-11-21T00:00:00"/>
    <n v="0"/>
    <s v="NO PRAZO"/>
    <d v="2024-11-22T00:00:00"/>
    <d v="2024-11-22T00:00:00"/>
    <n v="0"/>
    <s v="NO PRAZO"/>
    <d v="2024-11-23T00:00:00"/>
    <d v="2024-11-23T00:00:00"/>
    <n v="0"/>
    <s v="NO PRAZO"/>
    <m/>
    <m/>
    <m/>
    <x v="2"/>
    <s v="SIM"/>
    <m/>
  </r>
  <r>
    <x v="1"/>
    <d v="2025-02-01T00:00:00"/>
    <s v="FRANCISCO RODRIGUES"/>
    <x v="26"/>
    <x v="2"/>
    <s v="TRÂNSITO (TRAJETO)"/>
    <s v="urante o retorno de um atendimento de Ligação Nova no povoado Santa Rosa, a equipe ESP-E001M trafegava pela zona rural, na localidade Pela Galo, quando um terceiro – aparentemente embriagado – invadiu a contramão e colidiu com a lateral da viatura, causando danos ao para-choque e ao pneu dianteiro."/>
    <s v="PAULO SILVA"/>
    <s v="SIM"/>
    <s v="ESPERANTINOPOLIS"/>
    <x v="3"/>
    <s v="LEVE"/>
    <s v="SEM AFASTAMENTO"/>
    <s v="NA"/>
    <d v="2025-02-01T00:00:00"/>
    <d v="2025-02-03T00:00:00"/>
    <n v="2"/>
    <s v="ATRASADO"/>
    <d v="2025-02-02T00:00:00"/>
    <d v="2025-02-02T00:00:00"/>
    <n v="0"/>
    <s v="NO PRAZO"/>
    <d v="2025-02-02T00:00:00"/>
    <d v="2025-02-02T00:00:00"/>
    <n v="0"/>
    <s v="NO PRAZO"/>
    <d v="2025-02-09T00:00:00"/>
    <d v="2025-02-09T00:00:00"/>
    <n v="0"/>
    <s v="NO PRAZO"/>
    <d v="2025-02-10T00:00:00"/>
    <d v="2025-02-10T00:00:00"/>
    <n v="0"/>
    <s v="NO PRAZO"/>
    <d v="2025-02-11T00:00:00"/>
    <d v="2025-02-11T00:00:00"/>
    <n v="0"/>
    <s v="NO PRAZO"/>
    <m/>
    <m/>
    <m/>
    <x v="2"/>
    <s v="SIM"/>
    <s v="SIM"/>
  </r>
  <r>
    <x v="1"/>
    <d v="2025-02-05T00:00:00"/>
    <s v="FRANCISCO ADALTO DE OLIVEIRA"/>
    <x v="27"/>
    <x v="2"/>
    <s v="TRÂNSITO (TRAJETO)"/>
    <s v="A equipe estava trafegando pela via quando se deparou com dois carros parados à frente e, em seguida, realizaram a parada, aguardando a liberação da via. Um veículo de placa ROX9H32, modelo Oroch, marca Renault, de cor branca e adesivado com a empresa Mega Criativa, colidiu com a traseira do veículo da equipe, causando avarias."/>
    <s v="DEILTON COSTA"/>
    <s v="SIM"/>
    <s v="BACABAL"/>
    <x v="2"/>
    <s v="LEVE"/>
    <s v="SEM AFASTAMENTO"/>
    <s v="NA"/>
    <d v="2025-02-05T00:00:00"/>
    <d v="2025-02-05T00:00:00"/>
    <n v="0"/>
    <s v="NO PRAZO"/>
    <d v="2025-02-06T00:00:00"/>
    <d v="2025-02-06T00:00:00"/>
    <n v="0"/>
    <s v="NO PRAZO"/>
    <d v="2025-02-06T00:00:00"/>
    <d v="2025-02-06T00:00:00"/>
    <n v="0"/>
    <s v="NO PRAZO"/>
    <d v="2025-02-13T00:00:00"/>
    <d v="2025-02-13T00:00:00"/>
    <n v="0"/>
    <s v="NO PRAZO"/>
    <d v="2025-02-14T00:00:00"/>
    <d v="2025-02-14T00:00:00"/>
    <n v="0"/>
    <s v="NO PRAZO"/>
    <d v="2025-02-15T00:00:00"/>
    <d v="2025-02-15T00:00:00"/>
    <n v="0"/>
    <s v="NO PRAZO"/>
    <m/>
    <m/>
    <m/>
    <x v="2"/>
    <s v="SIM"/>
    <s v="SIM"/>
  </r>
  <r>
    <x v="1"/>
    <d v="2025-02-05T00:00:00"/>
    <s v="JOSE ROBERTO VIANA"/>
    <x v="8"/>
    <x v="0"/>
    <s v="CONTATO COM ELETRICIDADE"/>
    <s v="A equipe realizava a cobertura da rede de Média Tensão (MT) para a implantação de um poste utilizando o método de Linha Viva. Durante a atividade, os cabos das fases cederam, resultando no contato de uma das fases com a cordoalha do cabo mensageiro, dois vãos após o ponto onde a equipe estava trabalhando."/>
    <s v="JOÃO CLIMACO"/>
    <s v="NÃO"/>
    <s v="LAGO DA PEDRA"/>
    <x v="3"/>
    <s v="LEVE"/>
    <s v="INCIDENTE"/>
    <s v="NA"/>
    <d v="2025-02-05T00:00:00"/>
    <d v="2025-02-05T00:00:00"/>
    <n v="0"/>
    <s v="NO PRAZO"/>
    <d v="2025-02-06T00:00:00"/>
    <d v="2025-02-06T00:00:00"/>
    <n v="0"/>
    <s v="NO PRAZO"/>
    <d v="2025-02-06T00:00:00"/>
    <d v="2025-02-06T00:00:00"/>
    <n v="0"/>
    <s v="NO PRAZO"/>
    <d v="2025-02-13T00:00:00"/>
    <d v="2025-02-13T00:00:00"/>
    <n v="0"/>
    <s v="NO PRAZO"/>
    <d v="2025-02-14T00:00:00"/>
    <d v="2025-02-14T00:00:00"/>
    <n v="0"/>
    <s v="NO PRAZO"/>
    <d v="2025-02-15T00:00:00"/>
    <d v="2025-02-15T00:00:00"/>
    <n v="0"/>
    <s v="NO PRAZO"/>
    <m/>
    <m/>
    <m/>
    <x v="3"/>
    <s v="SIM"/>
    <m/>
  </r>
  <r>
    <x v="1"/>
    <d v="2025-02-13T00:00:00"/>
    <s v="EDINAEL DA COSTA MOURA"/>
    <x v="1"/>
    <x v="0"/>
    <s v="CONTATO COM ELETRICIDADE"/>
    <s v="A equipe realizava a cobertura da rede de Média Tensão (MT) para a substituição de um poste utilizando o método de Linha Viva. Após aplicação das coberturas na rede, enquanto desciam o cesto para que a equipe de construção implantar o poste novo, o topo do poste antigo (já em fim de vida útil) ruiu, vindo a cruzeta a se deslocar provocando o contato da fase A (lado rua) com o segundo nível de estrutura."/>
    <s v="EVERALDO NOGUEIRA"/>
    <s v="NÃO"/>
    <s v="SANTA INÊS"/>
    <x v="1"/>
    <s v="LEVE"/>
    <s v="INCIDENTE"/>
    <s v="NA"/>
    <d v="2025-02-13T00:00:00"/>
    <d v="2025-02-13T00:00:00"/>
    <n v="0"/>
    <s v="NO PRAZO"/>
    <d v="2025-02-14T00:00:00"/>
    <d v="2025-02-14T00:00:00"/>
    <n v="0"/>
    <s v="NO PRAZO"/>
    <d v="2025-02-14T00:00:00"/>
    <d v="2025-02-14T00:00:00"/>
    <n v="0"/>
    <s v="NO PRAZO"/>
    <d v="2025-02-21T00:00:00"/>
    <d v="2025-02-21T00:00:00"/>
    <n v="0"/>
    <s v="NO PRAZO"/>
    <d v="2025-02-22T00:00:00"/>
    <d v="2025-02-22T00:00:00"/>
    <n v="0"/>
    <s v="NO PRAZO"/>
    <d v="2025-02-23T00:00:00"/>
    <d v="2025-02-23T00:00:00"/>
    <n v="0"/>
    <s v="NO PRAZO"/>
    <m/>
    <m/>
    <m/>
    <x v="3"/>
    <s v="SIM"/>
    <m/>
  </r>
  <r>
    <x v="3"/>
    <d v="2025-04-02T00:00:00"/>
    <s v="MATHEUS SILVA DOS SANTOS"/>
    <x v="28"/>
    <x v="0"/>
    <s v="TRÂNSITO (COLISÃO, DANOS MATERIAIS) "/>
    <s v="A equipe encontrava-se em deslocamento para a cidade de Alto Alegre do Pindaré, com o objetivo de realizar um serviço de medição de nível de tensão do cliente. Durante o trajeto ao realizar o retorno, o veículo da empresa foi atingido na traseira por um Chevrolet Celta, de cor preta, placa NWS-2621. O acidente resultou apenas em danos materiais nos dois veículos. "/>
    <s v="PABLO LOURA"/>
    <s v="SIM"/>
    <s v="SANTA LUZIA"/>
    <x v="1"/>
    <s v="LEVE"/>
    <s v="INCIDENTE"/>
    <s v="NA"/>
    <d v="2025-04-02T00:00:00"/>
    <d v="2025-04-02T00:00:00"/>
    <n v="0"/>
    <s v="NO PRAZO"/>
    <d v="2025-04-03T00:00:00"/>
    <d v="2025-04-03T00:00:00"/>
    <n v="0"/>
    <s v="NO PRAZO"/>
    <d v="2025-04-03T00:00:00"/>
    <d v="2025-04-03T00:00:00"/>
    <n v="0"/>
    <s v="NO PRAZO"/>
    <d v="2025-04-10T00:00:00"/>
    <d v="2025-04-10T00:00:00"/>
    <n v="0"/>
    <s v="NO PRAZO"/>
    <d v="2025-04-11T00:00:00"/>
    <d v="2025-04-11T00:00:00"/>
    <n v="0"/>
    <s v="NO PRAZO"/>
    <d v="2025-04-12T00:00:00"/>
    <d v="2025-04-12T00:00:00"/>
    <n v="0"/>
    <s v="NO PRAZO"/>
    <m/>
    <m/>
    <m/>
    <x v="2"/>
    <s v="SIM"/>
    <s v="SIM"/>
  </r>
  <r>
    <x v="3"/>
    <d v="2025-04-07T00:00:00"/>
    <s v="ANTONIO RONILSON LIMA ALMEIDA"/>
    <x v="23"/>
    <x v="4"/>
    <s v="TRÂNSITO (COLISÃO, DANOS MATERIAIS) "/>
    <s v="Após carregamento de 01 poste de 16m, o motorista da carreta estava realizando a manobra para saída da subestação, quando a trava traseira do veículo encostou no portão, danificando o mesmo. A parte que tocou no portão, fica oposta da visão do carreteiro."/>
    <s v="JACKSON KENTELLY"/>
    <s v="NÃO"/>
    <s v="PRESIDENTE DUTRA"/>
    <x v="0"/>
    <s v="LEVE"/>
    <s v="INCIDENTE"/>
    <s v="NA"/>
    <d v="2025-04-07T00:00:00"/>
    <d v="2025-04-07T00:00:00"/>
    <n v="0"/>
    <s v="NO PRAZO"/>
    <d v="2025-04-08T00:00:00"/>
    <d v="2025-04-08T00:00:00"/>
    <n v="0"/>
    <s v="NO PRAZO"/>
    <d v="2025-04-08T00:00:00"/>
    <d v="2025-04-08T00:00:00"/>
    <n v="0"/>
    <s v="NO PRAZO"/>
    <d v="2025-04-15T00:00:00"/>
    <d v="2025-04-15T00:00:00"/>
    <n v="0"/>
    <s v="NO PRAZO"/>
    <d v="2025-04-16T00:00:00"/>
    <d v="2025-04-16T00:00:00"/>
    <n v="0"/>
    <s v="NO PRAZO"/>
    <d v="2025-04-17T00:00:00"/>
    <d v="2025-04-17T00:00:00"/>
    <n v="0"/>
    <s v="NO PRAZO"/>
    <m/>
    <m/>
    <m/>
    <x v="2"/>
    <s v="SIM"/>
    <s v="SIM"/>
  </r>
  <r>
    <x v="3"/>
    <d v="2025-04-15T00:00:00"/>
    <s v="CARLOS DANIEL COUTINHO DA SILVA"/>
    <x v="29"/>
    <x v="2"/>
    <s v="TRÂNSITO (COLISÃO, DANOS MATERIAIS) "/>
    <s v="A equipe trafegava pela via, em deslocamento para atendimento à Nota(11000683989) de Mudança de Medidor de Local, quando se deparou com uma motocicleta que colidiu na lateral do veículo da equipe. De imediato, a equipe parou e prestou socorro ao condutor da motocicleta, uma Honda Biz de cor azul, placa HPR-7448. Foi constatado que o condutor não sofreu ferimentos. Contudo, após o atendimento inicial, o mesmo evadiu-se do local."/>
    <s v="DEILTON COSTA"/>
    <s v="SIM"/>
    <s v="BACABAL"/>
    <x v="2"/>
    <s v="LEVE"/>
    <s v="INCIDENTE"/>
    <s v="NA"/>
    <d v="2025-04-15T00:00:00"/>
    <d v="2025-04-15T00:00:00"/>
    <n v="0"/>
    <s v="NO PRAZO"/>
    <d v="2025-04-16T00:00:00"/>
    <d v="2025-04-16T00:00:00"/>
    <n v="0"/>
    <s v="NO PRAZO"/>
    <d v="2025-04-16T00:00:00"/>
    <d v="2025-04-16T00:00:00"/>
    <n v="0"/>
    <s v="NO PRAZO"/>
    <d v="2025-04-23T00:00:00"/>
    <d v="2025-04-23T00:00:00"/>
    <n v="0"/>
    <s v="NO PRAZO"/>
    <d v="2025-04-24T00:00:00"/>
    <d v="2025-04-24T00:00:00"/>
    <n v="0"/>
    <s v="NO PRAZO"/>
    <d v="2025-04-25T00:00:00"/>
    <d v="2025-04-25T00:00:00"/>
    <n v="0"/>
    <s v="NO PRAZO"/>
    <m/>
    <m/>
    <m/>
    <x v="2"/>
    <s v="SIM"/>
    <m/>
  </r>
  <r>
    <x v="4"/>
    <d v="2025-05-07T00:00:00"/>
    <s v="JHONES DE JESUS RODRIGUES"/>
    <x v="30"/>
    <x v="0"/>
    <s v="GOLPEADO POR (ATINGIDO POR OBJETO EM MOVIMENTO)"/>
    <s v="Durante o manuseio de uma cruzeta de concreto, o equipamento escorregou da mão do colaborador, atingindo a região do maxilar e causando um corte. O colaborador foi encaminhado ao hospital para atendimento e, após os cuidados necessários, retornou às atividades."/>
    <s v="JOÃO CLIMACO"/>
    <s v="NÃO"/>
    <s v="PRESIDENTE DUTRA"/>
    <x v="0"/>
    <s v="LEVE"/>
    <s v="SEM AFASTAMENTO"/>
    <s v="1.1.0000000032391397131"/>
    <d v="2025-05-07T00:00:00"/>
    <d v="2025-05-07T00:00:00"/>
    <n v="0"/>
    <s v="NO PRAZO"/>
    <d v="2025-05-08T00:00:00"/>
    <d v="2025-05-08T00:00:00"/>
    <n v="0"/>
    <s v="NO PRAZO"/>
    <d v="2025-05-08T00:00:00"/>
    <d v="2025-05-08T00:00:00"/>
    <n v="0"/>
    <s v="NO PRAZO"/>
    <d v="2025-05-15T00:00:00"/>
    <d v="2025-05-15T00:00:00"/>
    <n v="0"/>
    <s v="NO PRAZO"/>
    <d v="2025-05-16T00:00:00"/>
    <d v="2025-05-16T00:00:00"/>
    <n v="0"/>
    <s v="NO PRAZO"/>
    <d v="2025-05-17T00:00:00"/>
    <d v="2025-05-17T00:00:00"/>
    <n v="0"/>
    <s v="NO PRAZO"/>
    <m/>
    <m/>
    <m/>
    <x v="0"/>
    <s v="SIM"/>
    <m/>
  </r>
  <r>
    <x v="4"/>
    <d v="2025-05-09T00:00:00"/>
    <s v="PEDRO HENRIQUE DO NASCIMENTO"/>
    <x v="31"/>
    <x v="1"/>
    <s v="DANOS A PROPIEDADE"/>
    <s v="A equipe BCB-F002 trafegava pela BR-316, no sentido Bacabal, nas proximidades do povoado Santo Antônio, quando, durante a passagem por um quebra-mola, a viatura de placa RUB7D51 foi atingida na parte traseira por um veículo FIAT Siena, cor prata, de placa OIX3I48."/>
    <s v="ANTONIO MARCOS SALAZAR"/>
    <s v="SIM"/>
    <s v="SÃO LUIS GONZAGA"/>
    <x v="2"/>
    <s v="LEVE"/>
    <s v="INCIDENTE"/>
    <s v="NA"/>
    <d v="2025-05-09T00:00:00"/>
    <d v="2025-05-09T00:00:00"/>
    <n v="0"/>
    <s v="NO PRAZO"/>
    <d v="2025-05-10T00:00:00"/>
    <d v="2025-05-10T00:00:00"/>
    <n v="0"/>
    <s v="NO PRAZO"/>
    <d v="2025-05-10T00:00:00"/>
    <d v="2025-05-10T00:00:00"/>
    <n v="0"/>
    <s v="NO PRAZO"/>
    <d v="2025-05-17T00:00:00"/>
    <d v="2025-05-17T00:00:00"/>
    <n v="0"/>
    <s v="NO PRAZO"/>
    <d v="2025-05-18T00:00:00"/>
    <d v="2025-05-18T00:00:00"/>
    <n v="0"/>
    <s v="NO PRAZO"/>
    <d v="2025-05-19T00:00:00"/>
    <d v="2025-05-19T00:00:00"/>
    <n v="0"/>
    <s v="NO PRAZO"/>
    <m/>
    <m/>
    <m/>
    <x v="2"/>
    <s v="SIM"/>
    <s v="NÃO"/>
  </r>
  <r>
    <x v="4"/>
    <d v="2025-05-12T00:00:00"/>
    <s v="MARCELO SOUSA FERNANDES REGADAS"/>
    <x v="12"/>
    <x v="0"/>
    <s v="QUEDA EM ALTURA MENOR QUE &lt; 2 METROS  "/>
    <s v="Após abertura da escada, apoiá-la no poste e feita a ancoragem na parte inferior da mesma, o colaborador iniciou a escalada enquanto o parceiro a segurava embaixo. Já em certa altura, a parte superior da escada extensiva escorregou descendo alguns degraus até travar na ancoragem inferior. O colaborador se firmou no montante da mesma enquanto escorregava, causando escoriações nos pulsos e quando a escada travou, o impacto fez com que a boca do colaborador atingisse um dos degraus, vindo a quebrar um dos seus dentes."/>
    <s v="MESSIAS ABREU"/>
    <s v="NÃO"/>
    <s v="IGARAPÉ GRANDE"/>
    <x v="3"/>
    <s v="LEVE"/>
    <s v="SEM AFASTAMENTO"/>
    <s v="NA"/>
    <d v="2025-05-12T00:00:00"/>
    <d v="2025-05-12T00:00:00"/>
    <n v="0"/>
    <s v="NO PRAZO"/>
    <d v="2025-05-13T00:00:00"/>
    <d v="2025-05-13T00:00:00"/>
    <n v="0"/>
    <s v="NO PRAZO"/>
    <d v="2025-05-13T00:00:00"/>
    <d v="2025-05-13T00:00:00"/>
    <n v="0"/>
    <s v="NO PRAZO"/>
    <d v="2025-05-20T00:00:00"/>
    <d v="2025-05-20T00:00:00"/>
    <n v="0"/>
    <s v="NO PRAZO"/>
    <d v="2025-05-21T00:00:00"/>
    <d v="2025-05-21T00:00:00"/>
    <n v="0"/>
    <s v="NO PRAZO"/>
    <d v="2025-05-22T00:00:00"/>
    <d v="2025-05-22T00:00:00"/>
    <n v="0"/>
    <s v="NO PRAZO"/>
    <m/>
    <m/>
    <m/>
    <x v="0"/>
    <s v="SIM"/>
    <m/>
  </r>
  <r>
    <x v="4"/>
    <d v="2025-05-29T00:00:00"/>
    <s v="NELDSON NELIO COSTA DE OLIVEIRA"/>
    <x v="32"/>
    <x v="2"/>
    <s v="TRÂNSITO (COLISÃO, DANOS MATERIAIS) "/>
    <s v="A equipe retornava da ocorrência nº 061262 com destino à cidade de São Mateus-MA para realizar a troca de turno. Ao tentar realizar uma conversão à direita na Avenida Rodoviária, deparou-se com um caminhão, placa OEP-7353, que trafegava na contramão e colidiu com a lateral do veículo da equipe. Após o impacto, o condutor do caminhão evadiu-se do local."/>
    <s v="DEILTON COSTA"/>
    <s v="SIM"/>
    <s v="ALTO ALEGRE DO MARANHÃO"/>
    <x v="2"/>
    <s v="LEVE"/>
    <s v="INCIDENTE"/>
    <s v="NA"/>
    <d v="2025-05-29T00:00:00"/>
    <d v="2025-05-29T00:00:00"/>
    <n v="0"/>
    <s v="NO PRAZO"/>
    <d v="2025-05-30T00:00:00"/>
    <d v="2025-05-30T00:00:00"/>
    <n v="0"/>
    <s v="NO PRAZO"/>
    <d v="2025-05-30T00:00:00"/>
    <d v="2025-05-30T00:00:00"/>
    <n v="0"/>
    <s v="NO PRAZO"/>
    <d v="2025-06-06T00:00:00"/>
    <d v="2025-06-06T00:00:00"/>
    <n v="0"/>
    <s v="NO PRAZO"/>
    <d v="2025-06-07T00:00:00"/>
    <d v="2025-06-07T00:00:00"/>
    <n v="0"/>
    <s v="NO PRAZO"/>
    <d v="2025-06-08T00:00:00"/>
    <d v="2025-06-08T00:00:00"/>
    <n v="0"/>
    <s v="NO PRAZO"/>
    <m/>
    <m/>
    <m/>
    <x v="2"/>
    <s v="SIM"/>
    <s v="NÃO"/>
  </r>
  <r>
    <x v="4"/>
    <d v="2025-05-30T00:00:00"/>
    <s v="VITOR DE SOUSA LOPES"/>
    <x v="20"/>
    <x v="0"/>
    <s v="GOLPEADO POR (ATINGIDO POR OBJETO EM MOVIMENTO)"/>
    <s v="Durante um desligamento programado no PEP MA-2509612MGD1.3.0050, onde a equipe estava realizando a substituição da BT nua, por multiplexada, ao realizar o corte fibra de internet, a mesma não estava ancorada ao poste e sim a outra fibra, que veio a cair sobre a via, onde no momento exato da queda da fibra, vinha passando uma terceira em uma moto com uma passageira na garupa. A fibra resvalou na terceira que pilotava a moto, que se desequilibrou e veio a solo."/>
    <s v="JOSIEL DE MENESES"/>
    <s v="SIM"/>
    <s v="BARRA DO CORDA"/>
    <x v="4"/>
    <s v="LEVE"/>
    <s v="INCIDENTE"/>
    <s v="NA"/>
    <d v="2025-05-30T00:00:00"/>
    <d v="2025-05-30T00:00:00"/>
    <n v="0"/>
    <s v="NO PRAZO"/>
    <d v="2025-05-31T00:00:00"/>
    <d v="2025-05-31T00:00:00"/>
    <n v="0"/>
    <s v="NO PRAZO"/>
    <d v="2025-05-31T00:00:00"/>
    <d v="2025-05-31T00:00:00"/>
    <n v="0"/>
    <s v="NO PRAZO"/>
    <d v="2025-06-07T00:00:00"/>
    <d v="2025-06-07T00:00:00"/>
    <n v="0"/>
    <s v="NO PRAZO"/>
    <d v="2025-06-08T00:00:00"/>
    <d v="2025-06-08T00:00:00"/>
    <n v="0"/>
    <s v="NO PRAZO"/>
    <d v="2025-06-09T00:00:00"/>
    <d v="2025-06-09T00:00:00"/>
    <n v="0"/>
    <s v="NO PRAZO"/>
    <m/>
    <m/>
    <m/>
    <x v="3"/>
    <s v="SIM"/>
    <m/>
  </r>
  <r>
    <x v="4"/>
    <d v="2025-05-30T00:00:00"/>
    <s v="CHARLES DE SOUSA OLIVEIRA"/>
    <x v="20"/>
    <x v="0"/>
    <s v="TRÂNSITO (COLISÃO, DANOS MATERIAIS) "/>
    <s v="Durante um desligamento programado no PEP MA-2509612MGD1.3.0050, onde a equipe estava realizando a substituição da BT nua, por multiplexada, o motorista do caminhão precisou dar a volta no quarteirão para retornar ao ponto de início da atividade, mas esqueceu de recolher por completo a patola esquerda do MUNCK. Estando a patola esquerda livre, ao fazer a conversão à direita, essa patola se abriu e veio a colidir com um caminhão baú que estava estacionado ao lado oposto da via."/>
    <s v="JOSIEL DE MENESES"/>
    <s v="NÃO"/>
    <s v="BARRA DO CORDA"/>
    <x v="4"/>
    <s v="LEVE"/>
    <s v="INCIDENTE"/>
    <s v="NA"/>
    <d v="2025-05-30T00:00:00"/>
    <d v="2025-05-30T00:00:00"/>
    <n v="0"/>
    <s v="NO PRAZO"/>
    <d v="2025-05-31T00:00:00"/>
    <d v="2025-05-31T00:00:00"/>
    <n v="0"/>
    <s v="NO PRAZO"/>
    <d v="2025-05-31T00:00:00"/>
    <d v="2025-05-31T00:00:00"/>
    <n v="0"/>
    <s v="NO PRAZO"/>
    <d v="2025-06-07T00:00:00"/>
    <d v="2025-06-07T00:00:00"/>
    <n v="0"/>
    <s v="NO PRAZO"/>
    <d v="2025-06-08T00:00:00"/>
    <d v="2025-06-08T00:00:00"/>
    <n v="0"/>
    <s v="NO PRAZO"/>
    <d v="2025-06-09T00:00:00"/>
    <d v="2025-06-09T00:00:00"/>
    <n v="0"/>
    <s v="NO PRAZO"/>
    <m/>
    <m/>
    <m/>
    <x v="2"/>
    <s v="SIM"/>
    <s v="NÃO"/>
  </r>
  <r>
    <x v="6"/>
    <d v="2025-07-04T00:00:00"/>
    <s v="MAURO CESAR DOS SANTOS"/>
    <x v="33"/>
    <x v="2"/>
    <s v="TRÂNSITO (COLISÃO, DANOS MATERIAIS) "/>
    <s v="Por volta das 11h52, a viatura da equipe de placa RZY1B65, encontrava-se parada devido ao trânsito intenso nas proximidades de uma escola, localizada na RuaPrimeiro de Maio. Enquanto aguardava a liberação da via, um motociclista tentou passar entre a lateral do veículo e um ônibus que trafegava no sentidooposto."/>
    <s v="ARLISON ROGERIO"/>
    <s v="SIM"/>
    <s v="ITAPECURU MIRIM"/>
    <x v="5"/>
    <s v="LEVE"/>
    <s v="INCIDENTE"/>
    <s v="NA"/>
    <d v="2025-07-04T00:00:00"/>
    <d v="2025-07-04T00:00:00"/>
    <n v="0"/>
    <s v="NO PRAZO"/>
    <d v="2025-07-05T00:00:00"/>
    <d v="2025-07-05T00:00:00"/>
    <n v="0"/>
    <s v="NO PRAZO"/>
    <d v="2025-07-05T00:00:00"/>
    <d v="2025-07-05T00:00:00"/>
    <n v="0"/>
    <s v="NO PRAZO"/>
    <d v="2025-07-12T00:00:00"/>
    <d v="2025-07-12T00:00:00"/>
    <n v="0"/>
    <s v="NO PRAZO"/>
    <d v="2025-07-13T00:00:00"/>
    <d v="2025-07-13T00:00:00"/>
    <n v="0"/>
    <s v="NO PRAZO"/>
    <d v="2025-07-14T00:00:00"/>
    <d v="2025-07-14T00:00:00"/>
    <n v="0"/>
    <s v="NO PRAZO"/>
    <m/>
    <m/>
    <m/>
    <x v="2"/>
    <s v="SIM"/>
    <s v="NÃO"/>
  </r>
  <r>
    <x v="6"/>
    <d v="2025-07-13T00:00:00"/>
    <s v="KEITON SALES ABREU JUNIOR"/>
    <x v="34"/>
    <x v="5"/>
    <s v="TRÂNSITO (COLISÃO, DANOS MATERIAIS) "/>
    <s v="No domingo, dia 13/07, durante o deslocamento de retorno de São Luís para Itapecuru, após a realização de um curso no sábado, o condutor da empresa trafegava pela BR-135 quando, ao se aproximar de um caminhão à sua frente, não percebeu a redução de velocidade do veículo, que freou devido a uma lombada na via. Sem tempo hábil para reação, o condutor colidiu com a traseira do caminhão."/>
    <s v="LEIZIANE CARVALHO"/>
    <s v="SIM"/>
    <s v="BACABEIRA"/>
    <x v="2"/>
    <s v="LEVE"/>
    <s v="INCIDENTE"/>
    <s v="NA"/>
    <d v="2025-07-13T00:00:00"/>
    <d v="2025-07-13T00:00:00"/>
    <n v="0"/>
    <s v="NO PRAZO"/>
    <d v="2025-07-14T00:00:00"/>
    <d v="2025-07-14T00:00:00"/>
    <n v="0"/>
    <s v="NO PRAZO"/>
    <d v="2025-07-14T00:00:00"/>
    <d v="2025-07-14T00:00:00"/>
    <n v="0"/>
    <s v="NO PRAZO"/>
    <d v="2025-07-21T00:00:00"/>
    <d v="2025-07-21T00:00:00"/>
    <n v="0"/>
    <s v="NO PRAZO"/>
    <d v="2025-07-22T00:00:00"/>
    <d v="2025-07-22T00:00:00"/>
    <n v="0"/>
    <s v="NO PRAZO"/>
    <d v="2025-07-23T00:00:00"/>
    <d v="2025-07-23T00:00:00"/>
    <n v="0"/>
    <s v="NO PRAZO"/>
    <m/>
    <m/>
    <m/>
    <x v="2"/>
    <s v="SIM"/>
    <s v="NÃO"/>
  </r>
  <r>
    <x v="6"/>
    <d v="2025-07-14T00:00:00"/>
    <s v="WANDERSON DE SOUZA LIMA"/>
    <x v="35"/>
    <x v="0"/>
    <s v="GOLPEADO POR (ATINGIDO POR OBJETO EM MOVIMENTO)"/>
    <s v="Por volta das 11h32, o colaborador Wanderson realizava a fixação de uma haste de aterramento, utilizando para isso, uma marreta com cabo metálico oco. A fixação estava sendo feita utilizando-se a parte superior da haste dentro do cabo da marreta, com movimentos verticais para golpear o topo da haste e assim fincá-la no solo. Em determinado momento, a parte superior da haste saiu de dentro do cabo da marreta, e no movimento de descida, a mão do colaborador atingiu o topo do haste, causando um corte na palma da mão direita. "/>
    <s v="MESSIAS ABREU"/>
    <s v="NÃO"/>
    <s v="LAGO DOS RODRIGUES"/>
    <x v="3"/>
    <s v="LEVE"/>
    <s v="SEM AFASTAMENTO"/>
    <s v="NA"/>
    <d v="2025-07-14T00:00:00"/>
    <d v="2025-07-14T00:00:00"/>
    <n v="0"/>
    <s v="NO PRAZO"/>
    <d v="2025-07-15T00:00:00"/>
    <d v="2025-07-15T00:00:00"/>
    <n v="0"/>
    <s v="NO PRAZO"/>
    <d v="2025-07-15T00:00:00"/>
    <d v="2025-07-15T00:00:00"/>
    <n v="0"/>
    <s v="NO PRAZO"/>
    <d v="2025-07-22T00:00:00"/>
    <d v="2025-07-22T00:00:00"/>
    <n v="0"/>
    <s v="NO PRAZO"/>
    <d v="2025-07-23T00:00:00"/>
    <d v="2025-07-23T00:00:00"/>
    <n v="0"/>
    <s v="NO PRAZO"/>
    <d v="2025-07-24T00:00:00"/>
    <d v="2025-07-24T00:00:00"/>
    <n v="0"/>
    <s v="NO PRAZO"/>
    <m/>
    <m/>
    <m/>
    <x v="0"/>
    <s v="SIM"/>
    <m/>
  </r>
  <r>
    <x v="6"/>
    <d v="2025-07-17T00:00:00"/>
    <s v="FRANCISCO BARBOSA DE ABREU LIRA"/>
    <x v="23"/>
    <x v="3"/>
    <s v="CORTE/PERFURAÇÃO"/>
    <s v="No dia 17/07/2025 (quinta-feira), durante o manuseio de um palete de madeira, o item caiu e, ao atingir o solo, causou um pequeno ferimento no pé do colaborador devido à presença de um prego exposto. O ferimento foi superficial, sem sangramento significativo. O colaborador foi encaminhado ao hospital para avaliação médica e, após atendimento, foi liberado sem necessidade de afastamento."/>
    <s v="JACKSON KENTELLY"/>
    <s v="NÃO"/>
    <s v="BACABAL"/>
    <x v="2"/>
    <s v="LEVE"/>
    <s v="SEM AFASTAMENTO"/>
    <s v="NA"/>
    <d v="2025-07-17T00:00:00"/>
    <d v="2025-07-17T00:00:00"/>
    <n v="0"/>
    <s v="NO PRAZO"/>
    <d v="2025-07-18T00:00:00"/>
    <d v="2025-07-18T00:00:00"/>
    <n v="0"/>
    <s v="NO PRAZO"/>
    <d v="2025-07-18T00:00:00"/>
    <d v="2025-07-18T00:00:00"/>
    <n v="0"/>
    <s v="NO PRAZO"/>
    <d v="2025-07-25T00:00:00"/>
    <d v="2025-07-25T00:00:00"/>
    <n v="0"/>
    <s v="NO PRAZO"/>
    <d v="2025-07-26T00:00:00"/>
    <d v="2025-07-26T00:00:00"/>
    <n v="0"/>
    <s v="NO PRAZO"/>
    <d v="2025-07-27T00:00:00"/>
    <d v="2025-07-27T00:00:00"/>
    <n v="0"/>
    <s v="NO PRAZO"/>
    <m/>
    <m/>
    <m/>
    <x v="0"/>
    <s v="SIM"/>
    <m/>
  </r>
  <r>
    <x v="6"/>
    <d v="2025-07-23T00:00:00"/>
    <s v="JOÃO MARCOS SILVA DE FREITAS"/>
    <x v="33"/>
    <x v="2"/>
    <s v="TRÂNSITO (COLISÃO, DANOS MATERIAIS) "/>
    <s v="Na quarta-feira, dia 23 de julho, a viatura da equipe (placa RZY5E64) deslocava-se para atendimento da nota nº 1103820328 (religação), no bairro Caminho Grande. Ao sinalizar para acessar a Rua José Rodrigues Sobrinho, um motociclista (utilizando capacete), que conduzia sua esposa na garupa (sem capacete), colidiu levemente na parte traseira esquerda do veículo da equipe, resultando na queda de ambos."/>
    <s v="LEONARDO ESTRELA"/>
    <s v="SIM"/>
    <s v="ITAPECURU MIRIM"/>
    <x v="5"/>
    <s v="LEVE"/>
    <s v="INCIDENTE"/>
    <s v="NA"/>
    <d v="2025-07-23T00:00:00"/>
    <d v="2025-07-23T00:00:00"/>
    <n v="0"/>
    <s v="NO PRAZO"/>
    <d v="2025-07-24T00:00:00"/>
    <d v="2025-07-24T00:00:00"/>
    <n v="0"/>
    <s v="NO PRAZO"/>
    <d v="2025-07-24T00:00:00"/>
    <d v="2025-07-24T00:00:00"/>
    <n v="0"/>
    <s v="NO PRAZO"/>
    <d v="2025-07-31T00:00:00"/>
    <d v="2025-07-31T00:00:00"/>
    <n v="0"/>
    <s v="NO PRAZO"/>
    <d v="2025-08-01T00:00:00"/>
    <d v="2025-08-01T00:00:00"/>
    <n v="0"/>
    <s v="NO PRAZO"/>
    <d v="2025-08-02T00:00:00"/>
    <d v="2025-08-02T00:00:00"/>
    <n v="0"/>
    <s v="NO PRAZO"/>
    <m/>
    <m/>
    <m/>
    <x v="2"/>
    <s v="SIM"/>
    <s v="NÃO"/>
  </r>
  <r>
    <x v="6"/>
    <d v="2025-07-24T00:00:00"/>
    <s v="TIAGO DA SILVA RODRIGUES"/>
    <x v="36"/>
    <x v="0"/>
    <s v="TRÂNSITO (COLISÃO, DANOS MATERIAIS) "/>
    <s v="Colaboradores foram acionados para levar materiais para outras equipes que estavam no atendimento da NR 42943, após retornarem do atendimento, efetuavam o carregamento dos caminhões para as obras do dia seguinte e durante o retorno do canteiro de postes, por volta das 00:58hs, o condutor Tiago da Silva Rodrigues parou o caminhão e aguardava a abertura do portão da empresa. Enquanto esperava, adormeceu momentaneamente ao volante e, ao tirar o pé da embreagem, o caminhão avançou em direção ao portão, que estava sendo aberto pelo porteiro. O veículo colidiu com o portão, que acabou atingindo o porteiro."/>
    <s v="MANOEL GUIMARAES "/>
    <s v="NÃO"/>
    <s v="BACABAL"/>
    <x v="2"/>
    <s v="LEVE"/>
    <s v="SEM AFASTAMENTO"/>
    <s v="NA"/>
    <d v="2025-07-24T00:00:00"/>
    <d v="2025-07-24T00:00:00"/>
    <n v="0"/>
    <s v="NO PRAZO"/>
    <d v="2025-07-25T00:00:00"/>
    <d v="2025-07-25T00:00:00"/>
    <n v="0"/>
    <s v="NO PRAZO"/>
    <d v="2025-07-25T00:00:00"/>
    <d v="2025-07-25T00:00:00"/>
    <n v="0"/>
    <s v="NO PRAZO"/>
    <d v="2025-08-01T00:00:00"/>
    <d v="2025-08-01T00:00:00"/>
    <n v="0"/>
    <s v="NO PRAZO"/>
    <d v="2025-08-02T00:00:00"/>
    <d v="2025-08-02T00:00:00"/>
    <n v="0"/>
    <s v="NO PRAZO"/>
    <d v="2025-08-03T00:00:00"/>
    <d v="2025-08-03T00:00:00"/>
    <n v="0"/>
    <s v="NO PRAZO"/>
    <m/>
    <m/>
    <m/>
    <x v="2"/>
    <s v="SIM"/>
    <s v="NÃO"/>
  </r>
  <r>
    <x v="6"/>
    <d v="2025-07-24T00:00:00"/>
    <s v="LUIS FILIPE LIMA GONÇALVES"/>
    <x v="37"/>
    <x v="2"/>
    <s v="TRÂNSITO (COLISÃO, DANOS MATERIAIS) "/>
    <s v="Os colaboradores, conduzia a viatura  para inicio do intervalo de almoço, quando, ao subir a ladeira da Rua das Laranjeiras, no Bairro Goiabal, em Pedreiras/MA, nas proximidades do Fórum, reduziu a velocidade para transpor uma lombada. Nesse momento, um veículo Fiat MOBI, de cor branca, placa DOD-5122, conduzido por um terceiro, colidiu na traseira da viatura. O incidente resultou apenas em danos materiais nos dois veículos, não havendo registro de feridos."/>
    <s v="PAULO SILVA"/>
    <s v="NÃO"/>
    <s v="PEDREIRAS"/>
    <x v="3"/>
    <s v="LEVE"/>
    <s v="INCIDENTE"/>
    <s v="NA"/>
    <d v="2025-07-24T00:00:00"/>
    <d v="2025-07-24T00:00:00"/>
    <n v="0"/>
    <s v="NO PRAZO"/>
    <d v="2025-07-25T00:00:00"/>
    <d v="2025-07-25T00:00:00"/>
    <n v="0"/>
    <s v="NO PRAZO"/>
    <d v="2025-07-25T00:00:00"/>
    <d v="2025-07-25T00:00:00"/>
    <n v="0"/>
    <s v="NO PRAZO"/>
    <d v="2025-08-01T00:00:00"/>
    <d v="2025-08-01T00:00:00"/>
    <n v="0"/>
    <s v="NO PRAZO"/>
    <d v="2025-08-02T00:00:00"/>
    <d v="2025-08-02T00:00:00"/>
    <n v="0"/>
    <s v="NO PRAZO"/>
    <d v="2025-08-03T00:00:00"/>
    <d v="2025-08-03T00:00:00"/>
    <n v="0"/>
    <s v="NO PRAZO"/>
    <m/>
    <m/>
    <m/>
    <x v="2"/>
    <s v="SIM"/>
    <s v="SIM"/>
  </r>
  <r>
    <x v="6"/>
    <d v="2025-07-29T00:00:00"/>
    <s v="PEDRO CARVALHO SILVA"/>
    <x v="38"/>
    <x v="0"/>
    <s v="TRÂNSITO (COLISÃO, DANOS MATERIAIS) "/>
    <s v="O colaborador Pedro foi realizar manobra de estacionamento do veículo da equipePDS400, ao parar o veículo não percebeu uma árvore com galhos em altura que poderia atingir o veículo. Ao encostrar próximo a árvore, o cesto aéreo do veículo colidiu com um galho vindo apresentar avaria no equipamento. O incidente resultou apenas em danos materiais no veículo. Não houveram feridos."/>
    <s v="JOÃO CLIMACO"/>
    <s v="NÃO"/>
    <s v="PEDREIRAS"/>
    <x v="3"/>
    <s v="LEVE"/>
    <s v="INCIDENTE"/>
    <s v="NA"/>
    <d v="2025-07-29T00:00:00"/>
    <d v="2025-07-29T00:00:00"/>
    <n v="0"/>
    <s v="NO PRAZO"/>
    <d v="2025-07-30T00:00:00"/>
    <d v="2025-07-30T00:00:00"/>
    <n v="0"/>
    <s v="NO PRAZO"/>
    <d v="2025-07-30T00:00:00"/>
    <d v="2025-07-30T00:00:00"/>
    <n v="0"/>
    <s v="NO PRAZO"/>
    <d v="2025-08-06T00:00:00"/>
    <d v="2025-08-06T00:00:00"/>
    <n v="0"/>
    <s v="NO PRAZO"/>
    <d v="2025-08-07T00:00:00"/>
    <d v="2025-08-07T00:00:00"/>
    <n v="0"/>
    <s v="NO PRAZO"/>
    <d v="2025-08-08T00:00:00"/>
    <d v="2025-08-08T00:00:00"/>
    <n v="0"/>
    <s v="NO PRAZO"/>
    <m/>
    <m/>
    <m/>
    <x v="2"/>
    <s v="SIM"/>
    <s v="NÃO"/>
  </r>
  <r>
    <x v="7"/>
    <d v="2025-08-04T00:00:00"/>
    <s v="ANTONIO ALVES DA SILVA JUNIOR"/>
    <x v="39"/>
    <x v="1"/>
    <s v="GOLPEADO POR (ATINGIDO POR OBJETO EM MOVIMENTO)"/>
    <s v="O Antonio Alves foi furar a tampa de um medidor utilizando uma furadeira acoplada a uma serra copo, durando a ação o colaborador apoiou a tampa na parede, ela escorregou levando ao contato da serra copo com a sua mão, que estava protegida com a luva de vaqueta. Diante ao exposto, Antonio sofreu uma pequena lesão no dedo e recebeu os primeiros socorros."/>
    <s v="ANTONIO MARCOS SALAZAR"/>
    <s v="NÃO"/>
    <s v="SANTA INÊS"/>
    <x v="1"/>
    <s v="LEVE"/>
    <s v="SEM AFASTAMENTO"/>
    <s v="1.1.0000000033921360380"/>
    <d v="2025-08-04T00:00:00"/>
    <d v="2025-08-04T00:00:00"/>
    <n v="0"/>
    <s v="NO PRAZO"/>
    <d v="2025-08-05T00:00:00"/>
    <d v="2025-08-05T00:00:00"/>
    <n v="0"/>
    <s v="NO PRAZO"/>
    <d v="2025-08-05T00:00:00"/>
    <d v="2025-08-05T00:00:00"/>
    <n v="0"/>
    <s v="NO PRAZO"/>
    <d v="2025-08-12T00:00:00"/>
    <d v="2025-08-12T00:00:00"/>
    <n v="0"/>
    <s v="NO PRAZO"/>
    <d v="2025-08-13T00:00:00"/>
    <d v="2025-08-13T00:00:00"/>
    <n v="0"/>
    <s v="NO PRAZO"/>
    <d v="2025-08-14T00:00:00"/>
    <d v="2025-08-14T00:00:00"/>
    <n v="0"/>
    <s v="NO PRAZO"/>
    <m/>
    <m/>
    <m/>
    <x v="0"/>
    <s v="SIM"/>
    <m/>
  </r>
  <r>
    <x v="7"/>
    <d v="2025-08-04T00:00:00"/>
    <s v="CARLOS WILTER FREIRE DA COSTA"/>
    <x v="40"/>
    <x v="2"/>
    <s v="TRÂNSITO (COLISÃO, DANOS MATERIAIS) "/>
    <s v="Os colaborador, após a finalização de seu turno de trabalho,  conduzia o veículo da empresa no trajeto entre o município de Joselândia e Presidente Dutra/MA. Ao se aproximar de uma curva, nas proximidades do povoado Barragem, um caminhão que trafegava em sentido contrário com os faróis altos acabou ofuscando sua visão. Devido ao forte encandeamento, o colaborador perdeu momentaneamente a visibilidade da via, vindo a subir no meio-fio e, consequentemente, perdeu o controle do veículo, que acabou saindo da pista e descendo uma ribanceira."/>
    <s v="MARCOS ALENCAR"/>
    <s v="NÃO"/>
    <s v="JOSELANDIA"/>
    <x v="0"/>
    <s v="LEVE"/>
    <s v="INCIDENTE"/>
    <s v="NA"/>
    <d v="2025-08-04T00:00:00"/>
    <d v="2025-08-04T00:00:00"/>
    <n v="0"/>
    <s v="NO PRAZO"/>
    <d v="2025-08-05T00:00:00"/>
    <d v="2025-08-05T00:00:00"/>
    <n v="0"/>
    <s v="NO PRAZO"/>
    <d v="2025-08-05T00:00:00"/>
    <d v="2025-08-05T00:00:00"/>
    <n v="0"/>
    <s v="NO PRAZO"/>
    <d v="2025-08-12T00:00:00"/>
    <d v="2025-08-12T00:00:00"/>
    <n v="0"/>
    <s v="NO PRAZO"/>
    <d v="2025-08-13T00:00:00"/>
    <d v="2025-08-13T00:00:00"/>
    <n v="0"/>
    <s v="NO PRAZO"/>
    <d v="2025-08-14T00:00:00"/>
    <d v="2025-08-14T00:00:00"/>
    <n v="0"/>
    <s v="NO PRAZO"/>
    <m/>
    <m/>
    <m/>
    <x v="2"/>
    <s v="SIM"/>
    <s v="NÃO"/>
  </r>
  <r>
    <x v="7"/>
    <d v="2025-08-05T00:00:00"/>
    <s v="RAFAEL DA SILVA E SILVA"/>
    <x v="41"/>
    <x v="2"/>
    <s v="GOLPEADO POR (ATINGIDO POR OBJETO EM MOVIMENTO)"/>
    <s v="Após a conclusão de atendimento da nota 1104105678, o colaborador estava encostado na carroceria com o dedo exposto a tampa,  quando o parceiro fez o Fechamento da tampa não percebendo e ocasionando uma pequena lesão no dedo médio, com comprometimento parcial da borda da unha. O colaborador foi prontamente assistido, recebendo os primeiros cuidados, sem necessidade de afastamento."/>
    <s v="JAMERSON MIRANDA"/>
    <s v="NÃO"/>
    <s v="PIO XII"/>
    <x v="1"/>
    <s v="LEVE"/>
    <s v="SEM AFASTAMENTO"/>
    <s v="1.1.0000000033922958033"/>
    <d v="2025-08-05T00:00:00"/>
    <d v="2025-08-05T00:00:00"/>
    <n v="0"/>
    <s v="NO PRAZO"/>
    <d v="2025-08-06T00:00:00"/>
    <d v="2025-08-06T00:00:00"/>
    <n v="0"/>
    <s v="NO PRAZO"/>
    <d v="2025-08-06T00:00:00"/>
    <d v="2025-08-06T00:00:00"/>
    <n v="0"/>
    <s v="NO PRAZO"/>
    <d v="2025-08-13T00:00:00"/>
    <d v="2025-08-13T00:00:00"/>
    <n v="0"/>
    <s v="NO PRAZO"/>
    <d v="2025-08-14T00:00:00"/>
    <d v="2025-08-14T00:00:00"/>
    <n v="0"/>
    <s v="NO PRAZO"/>
    <d v="2025-08-15T00:00:00"/>
    <d v="2025-08-15T00:00:00"/>
    <n v="0"/>
    <s v="NO PRAZO"/>
    <m/>
    <m/>
    <m/>
    <x v="0"/>
    <s v="SIM"/>
    <m/>
  </r>
  <r>
    <x v="7"/>
    <d v="2025-08-11T00:00:00"/>
    <s v="LUCIFRAN BRANDÃO FREITAS"/>
    <x v="42"/>
    <x v="1"/>
    <s v="TRÂNSITO (COLISÃO, DANOS MATERIAIS) "/>
    <s v="A equipe realizava um retorno na Avenida Luis Osmani Pimentel de Macêdo quando, no momento da conversão, uma motocicleta que seguia atrás da viatura colidiu com a porta da Hilux (placa RUF0E16). Após o impacto, o condutor da motocicleta se evadiu do local, restando apenas danos materiais. Em seguida, a equipe comunicou o ocorrido à liderança."/>
    <s v="ANTONIO MARCOS SALAZAR"/>
    <s v="SIM"/>
    <s v="LAGO DA PEDRA"/>
    <x v="2"/>
    <s v="LEVE"/>
    <s v="SEM AFASTAMENTO"/>
    <s v="NA"/>
    <d v="2025-08-11T00:00:00"/>
    <d v="2025-08-11T00:00:00"/>
    <n v="0"/>
    <s v="NO PRAZO"/>
    <d v="2025-08-12T00:00:00"/>
    <d v="2025-08-12T00:00:00"/>
    <n v="0"/>
    <s v="NO PRAZO"/>
    <d v="2025-08-12T00:00:00"/>
    <d v="2025-08-12T00:00:00"/>
    <n v="0"/>
    <s v="NO PRAZO"/>
    <d v="2025-08-19T00:00:00"/>
    <d v="2025-08-19T00:00:00"/>
    <n v="0"/>
    <s v="NO PRAZO"/>
    <d v="2025-08-20T00:00:00"/>
    <d v="2025-08-20T00:00:00"/>
    <n v="0"/>
    <s v="NO PRAZO"/>
    <d v="2025-08-21T00:00:00"/>
    <d v="2025-08-21T00:00:00"/>
    <n v="0"/>
    <s v="NO PRAZO"/>
    <m/>
    <m/>
    <m/>
    <x v="2"/>
    <s v="SIM"/>
    <s v="SIM"/>
  </r>
  <r>
    <x v="7"/>
    <d v="2025-08-21T00:00:00"/>
    <s v="PABLO DOS SANTOS SOUSA"/>
    <x v="43"/>
    <x v="2"/>
    <s v="TRÂNSITO (COLISÃO, DANOS MATERIAIS) "/>
    <s v="Os colaboradores deslocaram-se da cidade de Barra do Corda/MA em veículo da empresa, com destino à zona rural do município de Barro Branco/MA, para atendimento de uma ocorrência. Durante o trajeto, aproximadamente 5 km antes de chegar ao referido local, o condutor apresentou um cochilo momentâneo ao volante, ocasionando a perda do controle da direção. O veículo saiu da pista e desceu por uma ribanceira. O acidente resultou apenas em danos materiais, não havendo registro de ferimentos entre os ocupantes."/>
    <s v="MARCOS ALENCAR"/>
    <s v="NÃO"/>
    <s v="BARRA DO CORDA"/>
    <x v="0"/>
    <s v="LEVE"/>
    <s v="SEM AFASTAMENTO"/>
    <s v="NA"/>
    <d v="2025-08-21T00:00:00"/>
    <d v="2025-08-21T00:00:00"/>
    <n v="0"/>
    <s v="NO PRAZO"/>
    <d v="2025-08-22T00:00:00"/>
    <d v="2025-08-22T00:00:00"/>
    <n v="0"/>
    <s v="NO PRAZO"/>
    <d v="2025-08-22T00:00:00"/>
    <d v="2025-08-22T00:00:00"/>
    <n v="0"/>
    <s v="NO PRAZO"/>
    <d v="2025-08-29T00:00:00"/>
    <d v="2025-08-29T00:00:00"/>
    <n v="0"/>
    <s v="NO PRAZO"/>
    <d v="2025-08-30T00:00:00"/>
    <d v="2025-08-30T00:00:00"/>
    <n v="0"/>
    <s v="NO PRAZO"/>
    <d v="2025-08-31T00:00:00"/>
    <d v="2025-08-31T00:00:00"/>
    <n v="0"/>
    <s v="NO PRAZO"/>
    <m/>
    <m/>
    <m/>
    <x v="2"/>
    <s v="SIM"/>
    <s v="NÃO"/>
  </r>
  <r>
    <x v="7"/>
    <d v="2025-08-29T00:00:00"/>
    <s v="JOÃO VINICIUS LIMA"/>
    <x v="44"/>
    <x v="1"/>
    <s v="TRÂNSITO (COLISÃO, DANOS MATERIAIS) "/>
    <s v="Durante o deslocamento para o alvo, pela MA-318, a equipe trafegava normalmente quando, após passar por um quebra-mola, uma motocicleta que seguia atrás colidiu com a parte traseira da viatura FIAT Strada (placa SOX8C26)."/>
    <s v="ANTONIO MARCOS SALAZAR"/>
    <s v="SIM"/>
    <s v="SÃO JOÃO DO CARÚ"/>
    <x v="2"/>
    <s v="LEVE"/>
    <s v="SEM AFASTAMENTO"/>
    <s v="NA"/>
    <d v="2025-08-29T00:00:00"/>
    <d v="2025-08-29T00:00:00"/>
    <n v="0"/>
    <s v="NO PRAZO"/>
    <d v="2025-08-30T00:00:00"/>
    <d v="2025-08-30T00:00:00"/>
    <n v="0"/>
    <s v="NO PRAZO"/>
    <d v="2025-08-30T00:00:00"/>
    <d v="2025-08-30T00:00:00"/>
    <n v="0"/>
    <s v="NO PRAZO"/>
    <d v="2025-09-06T00:00:00"/>
    <d v="2025-09-06T00:00:00"/>
    <n v="0"/>
    <s v="NO PRAZO"/>
    <d v="2025-09-07T00:00:00"/>
    <d v="2025-09-07T00:00:00"/>
    <n v="0"/>
    <s v="NO PRAZO"/>
    <d v="2025-09-08T00:00:00"/>
    <d v="2025-09-08T00:00:00"/>
    <n v="0"/>
    <s v="NO PRAZO"/>
    <m/>
    <m/>
    <m/>
    <x v="2"/>
    <s v="SIM"/>
    <s v="NÃO"/>
  </r>
  <r>
    <x v="7"/>
    <d v="2025-08-29T00:00:00"/>
    <s v="DIEGO OEREIRA VIANA"/>
    <x v="45"/>
    <x v="2"/>
    <s v="TRÂNSITO (COLISÃO, DANOS MATERIAIS) "/>
    <s v="A equipe encontrava-se em deslocamento para atendimento de uma Ligação Nova (nota: 1104682511), no bairro Green Park, município de Bacabal. Durante o trajeto pela BR-316, na altura do km 361, o eletricista que conduzia a viatura informou que dois veículos à sua frente (caminhonetes) realizaram uma freada brusca. Nesse momento, ocorreu uma colisão envolvendo o último veículo da sequência, uma caminhonete Ford Ranger, cor cinza, placa SMP7G45, que trafegava em velocidade compatível com a via."/>
    <s v="DEILTON COSTA"/>
    <s v="SIM"/>
    <s v="BACABAL"/>
    <x v="2"/>
    <s v="LEVE"/>
    <s v="SEM AFASTAMENTO"/>
    <s v="NA"/>
    <d v="2025-08-29T00:00:00"/>
    <d v="2025-08-29T00:00:00"/>
    <n v="0"/>
    <s v="NO PRAZO"/>
    <d v="2025-08-30T00:00:00"/>
    <d v="2025-08-30T00:00:00"/>
    <n v="0"/>
    <s v="NO PRAZO"/>
    <d v="2025-08-30T00:00:00"/>
    <d v="2025-08-30T00:00:00"/>
    <n v="0"/>
    <s v="NO PRAZO"/>
    <d v="2025-09-06T00:00:00"/>
    <d v="2025-09-06T00:00:00"/>
    <n v="0"/>
    <s v="NO PRAZO"/>
    <d v="2025-09-07T00:00:00"/>
    <d v="2025-09-07T00:00:00"/>
    <n v="0"/>
    <s v="NO PRAZO"/>
    <d v="2025-09-08T00:00:00"/>
    <d v="2025-09-08T00:00:00"/>
    <n v="0"/>
    <s v="NO PRAZO"/>
    <m/>
    <m/>
    <m/>
    <x v="2"/>
    <s v="SIM"/>
    <s v="NÃO"/>
  </r>
  <r>
    <x v="8"/>
    <d v="2025-09-01T00:00:00"/>
    <s v="MELKE RODRIGUES CASTRO"/>
    <x v="46"/>
    <x v="0"/>
    <s v="TRÂNSITO (COLISÃO, TOMBAMENTO, DANOS MATERIAIS)"/>
    <s v="EQUIPE REALIZOU O CARREGAMENTO DENTRO DA OBRA UNR 746 COM TRÊS POSTE 300/11 EM SEGUIDA SE DESLOCOU PARA A MESMA, COM OS OCUPANTES TRÊS COLABORADORES NA CABINE FRONTAL E DOIS NA CABINE AUXILIAR AONDE A OUTRA EQUIPE ESTAVA TRABALHANDO NA ABERTURA DE CAVA, TINHA UMA ENTRADA ANTES A ESQUERDA E ENTRARAM AO DESCER A LADEIRA TINHA UMA CRATERA  E OS MESMO PASSARAM E LOGO EM SEGUIDA PERCEBERAM QUE TINHA ENTRADO ERRADO OS DOIS OCUPANTES QUE ESTAVA NA CABINE AUXILIAR DESCERAM PARA AUXILIAR O MOTORISTA A VOLTAR DE MACHA RÉ E A POUCOS  METROS AO RETORNAR O CAMINHÃO PATINOU NA BARREIRA DA CRATERA E DEPOIS TOMBOU PARA O LADO DO MOTORISTA"/>
    <s v="JOSIEL DE MENESES"/>
    <s v="NÃO"/>
    <s v="BARRA DO CORDA"/>
    <x v="4"/>
    <s v="LEVE"/>
    <s v="SEM AFASTAMENTO"/>
    <s v="NA"/>
    <d v="2025-09-01T00:00:00"/>
    <d v="2025-09-01T00:00:00"/>
    <n v="0"/>
    <s v="NO PRAZO"/>
    <d v="2025-09-02T00:00:00"/>
    <d v="2025-09-02T00:00:00"/>
    <n v="0"/>
    <s v="NO PRAZO"/>
    <d v="2025-09-02T00:00:00"/>
    <d v="2025-09-02T00:00:00"/>
    <n v="0"/>
    <s v="NO PRAZO"/>
    <d v="2025-09-09T00:00:00"/>
    <d v="2025-09-09T00:00:00"/>
    <n v="0"/>
    <s v="NO PRAZO"/>
    <d v="2025-09-10T00:00:00"/>
    <d v="2025-09-10T00:00:00"/>
    <n v="0"/>
    <s v="NO PRAZO"/>
    <d v="2025-09-11T00:00:00"/>
    <d v="2025-09-11T00:00:00"/>
    <n v="0"/>
    <s v="NO PRAZO"/>
    <m/>
    <m/>
    <m/>
    <x v="2"/>
    <s v="SIM"/>
    <s v="NÃO"/>
  </r>
  <r>
    <x v="8"/>
    <d v="2025-09-02T00:00:00"/>
    <s v="ALEXANDRO ANSCIMENTO DA SILVA"/>
    <x v="47"/>
    <x v="0"/>
    <s v="TRÂNSITO (COLISÃO, DANOS MATERIAIS) "/>
    <s v="Durante o deslocamento para a obra, o motorista conduzia o caminhão de placa PDY-2953 pela Rua Edmilson Pereira quando, ao passar por uma van que estava estacionada, a carroceria do veículo encostou no retrovisor da mesma, ocasionando danos materiais."/>
    <s v="RAIMUNDO NONATO"/>
    <s v="SIM"/>
    <s v="SÃO DOMINGOS DO MARANHÃO"/>
    <x v="0"/>
    <s v="LEVE"/>
    <s v="SEM AFASTAMENTO"/>
    <s v="NA"/>
    <d v="2025-09-02T00:00:00"/>
    <d v="2025-09-02T00:00:00"/>
    <n v="0"/>
    <s v="NO PRAZO"/>
    <d v="2025-09-03T00:00:00"/>
    <d v="2025-09-03T00:00:00"/>
    <n v="0"/>
    <s v="NO PRAZO"/>
    <d v="2025-09-03T00:00:00"/>
    <d v="2025-09-03T00:00:00"/>
    <n v="0"/>
    <s v="NO PRAZO"/>
    <d v="2025-09-10T00:00:00"/>
    <d v="2025-09-10T00:00:00"/>
    <n v="0"/>
    <s v="NO PRAZO"/>
    <d v="2025-09-11T00:00:00"/>
    <d v="2025-09-11T00:00:00"/>
    <n v="0"/>
    <s v="NO PRAZO"/>
    <d v="2025-09-12T00:00:00"/>
    <d v="2025-09-12T00:00:00"/>
    <n v="0"/>
    <s v="NO PRAZO"/>
    <m/>
    <m/>
    <m/>
    <x v="2"/>
    <s v="SIM"/>
    <s v="NÃO"/>
  </r>
  <r>
    <x v="8"/>
    <d v="2025-09-13T00:00:00"/>
    <s v="FABRICIO ALVES DE ARAUJO"/>
    <x v="48"/>
    <x v="2"/>
    <s v="TRÂNSITO (COLISÃO, DANOS MATERIAIS) "/>
    <s v="A equipe ITM-E002M foi designada para atender à nota 1105293950. Ao se aproximar de um sinal de trânsito, a viatura efetuou a parada devido ao sinal estar fechado. Quando o sinal abriu, o veículo Ford KA, placa PSX-3253, que estava estacionado no lado direito da via, iniciou uma manobra para a esquerda. Nesse momento, o veículo colidiu lateralmente com a viatura da equipe, causando pequenos arranhões na viatura e um leve arranhão no retrovisor do Ford KA."/>
    <m/>
    <s v="SIM"/>
    <s v="ITAPECURU MIRIM"/>
    <x v="5"/>
    <s v="LEVE"/>
    <s v="SEM AFASTAMENTO"/>
    <s v="NA"/>
    <d v="2025-09-13T00:00:00"/>
    <d v="2025-09-13T00:00:00"/>
    <n v="0"/>
    <s v="NO PRAZO"/>
    <d v="2025-09-14T00:00:00"/>
    <d v="2025-09-14T00:00:00"/>
    <n v="0"/>
    <s v="NO PRAZO"/>
    <d v="2025-09-14T00:00:00"/>
    <d v="2025-09-14T00:00:00"/>
    <n v="0"/>
    <s v="NO PRAZO"/>
    <d v="2025-09-21T00:00:00"/>
    <d v="2025-09-21T00:00:00"/>
    <n v="0"/>
    <s v="NO PRAZO"/>
    <d v="2025-09-22T00:00:00"/>
    <d v="2025-09-22T00:00:00"/>
    <n v="0"/>
    <s v="NO PRAZO"/>
    <d v="2025-09-23T00:00:00"/>
    <d v="2025-09-23T00:00:00"/>
    <n v="0"/>
    <s v="NO PRAZO"/>
    <m/>
    <m/>
    <m/>
    <x v="2"/>
    <s v="SIM"/>
    <s v="NÃO"/>
  </r>
  <r>
    <x v="8"/>
    <d v="2025-09-18T00:00:00"/>
    <s v="CELIO MORAIS"/>
    <x v="49"/>
    <x v="0"/>
    <s v="CONTATO COM ELETRICIDADE"/>
    <s v="Equipe de poda realizava atividade de poda de vegetação em proximidades com a rede de baixa tensão, na localidade de Pindaré Mirim, quando ao podar um galho o mesmo resvalou na rede secundária vindo a tocar nas fases B e C, onde houve um contato entre estas rompendo a fase B."/>
    <s v="WERBETH RODRIGUES"/>
    <s v="NÃO"/>
    <s v="PINDARÉ MIRIM"/>
    <x v="1"/>
    <s v="LEVE"/>
    <s v="SEM AFASTAMENTO"/>
    <s v="NA"/>
    <d v="2025-09-18T00:00:00"/>
    <d v="2025-09-18T00:00:00"/>
    <n v="0"/>
    <s v="NO PRAZO"/>
    <d v="2025-09-19T00:00:00"/>
    <d v="2025-09-19T00:00:00"/>
    <n v="0"/>
    <s v="NO PRAZO"/>
    <d v="2025-09-19T00:00:00"/>
    <d v="2025-09-19T00:00:00"/>
    <n v="0"/>
    <s v="NO PRAZO"/>
    <d v="2025-09-26T00:00:00"/>
    <d v="2025-09-26T00:00:00"/>
    <n v="0"/>
    <s v="NO PRAZO"/>
    <d v="2025-09-27T00:00:00"/>
    <d v="2025-09-27T00:00:00"/>
    <n v="0"/>
    <s v="NO PRAZO"/>
    <d v="2025-09-28T00:00:00"/>
    <d v="2025-09-28T00:00:00"/>
    <n v="0"/>
    <s v="NO PRAZO"/>
    <m/>
    <m/>
    <m/>
    <x v="3"/>
    <s v="SIM"/>
    <m/>
  </r>
  <r>
    <x v="9"/>
    <d v="2025-10-01T00:00:00"/>
    <s v="JANES DA COSTA MELO"/>
    <x v="50"/>
    <x v="0"/>
    <s v="GOLPEADO POR (ATINGIDO POR OBJETO EM MOVIMENTO)"/>
    <s v="O colaborador Janes da Costa Melo (Equipe PDS303) ao realizar limpeza do porta cartucho da ferramenta Impact, não observou que havia cartucho não deflagrado. Ao tentar retirar o cartucho da ferramenta, houve disparo acidental e um fragmento atingiu sua testa causando perfuração. No momento disparo acidental, o colaborador fazia uso de capacete, óculos de segurança e balaclava."/>
    <s v="MESSIAS ABREU"/>
    <s v="NÃO"/>
    <s v="LAGO DO JUNCO"/>
    <x v="3"/>
    <s v="LEVE"/>
    <s v="SEM AFASTAMENTO"/>
    <m/>
    <d v="2025-10-01T00:00:00"/>
    <d v="2025-10-01T00:00:00"/>
    <n v="0"/>
    <s v="NO PRAZO"/>
    <d v="2025-10-02T00:00:00"/>
    <d v="2025-10-02T00:00:00"/>
    <n v="0"/>
    <s v="NO PRAZO"/>
    <d v="2025-10-02T00:00:00"/>
    <d v="2025-10-02T00:00:00"/>
    <n v="0"/>
    <s v="NO PRAZO"/>
    <d v="2025-10-09T00:00:00"/>
    <d v="2025-10-09T00:00:00"/>
    <n v="0"/>
    <s v="NO PRAZO"/>
    <d v="2025-10-10T00:00:00"/>
    <d v="2025-10-10T00:00:00"/>
    <n v="0"/>
    <s v="NO PRAZO"/>
    <d v="2025-10-11T00:00:00"/>
    <d v="2025-10-11T00:00:00"/>
    <n v="0"/>
    <s v="NO PRAZO"/>
    <m/>
    <m/>
    <m/>
    <x v="0"/>
    <s v="SIM"/>
    <m/>
  </r>
  <r>
    <x v="9"/>
    <d v="2025-10-13T00:00:00"/>
    <s v="RUAN VICTOR LIMA SIRQUEIRA"/>
    <x v="51"/>
    <x v="1"/>
    <s v="TRÂNSITO (COLISÃO, DANOS MATERIAIS) "/>
    <s v="No momento do deslocamento para atendimento de uma nota de Suspensão do Fornecimento, a equipe STI-F001, composta pelos colaboradores Ruan Victor Lima Sirqueira e Arthur Vinicius Neves Marques, realizava a travessia da BR-316, em um trecho devidamente sinalizado com semáforos._x000a_Durante a travessia, o semáforo indicava sinal verde, autorizando a passagem da viatura utilizada pela equipe. No entanto, um veículo de terceiros, modelo Volkswagen Gol, cor branca, placa OJH-3B75, avançou o sinal vermelho e colidiu com a lateral da viatura da equipe."/>
    <s v="LUIS FILIPE"/>
    <s v="SIM"/>
    <s v="SANTA INÊS"/>
    <x v="1"/>
    <s v="LEVE"/>
    <s v="SEM AFASTAMENTO"/>
    <s v="NA"/>
    <d v="2025-10-13T00:00:00"/>
    <d v="2025-10-13T00:00:00"/>
    <n v="0"/>
    <s v="NO PRAZO"/>
    <d v="2025-10-14T00:00:00"/>
    <d v="2025-10-14T00:00:00"/>
    <n v="0"/>
    <s v="NO PRAZO"/>
    <d v="2025-10-14T00:00:00"/>
    <d v="2025-10-14T00:00:00"/>
    <n v="0"/>
    <s v="NO PRAZO"/>
    <d v="2025-10-21T00:00:00"/>
    <d v="2025-10-21T00:00:00"/>
    <n v="0"/>
    <s v="NO PRAZO"/>
    <d v="2025-10-22T00:00:00"/>
    <d v="2025-10-22T00:00:00"/>
    <n v="0"/>
    <s v="NO PRAZO"/>
    <d v="2025-10-23T00:00:00"/>
    <d v="2025-10-23T00:00:00"/>
    <n v="0"/>
    <s v="NO PRAZO"/>
    <m/>
    <m/>
    <m/>
    <x v="2"/>
    <s v="SIM"/>
    <s v="NÃO"/>
  </r>
  <r>
    <x v="9"/>
    <d v="2025-10-18T00:00:00"/>
    <s v="VINICIUS CONCEIÇÃO DA SILVA"/>
    <x v="26"/>
    <x v="2"/>
    <s v="TRÂNSITO (COLISÃO, DANOS MATERIAIS) "/>
    <s v="A equipe MA-ESP-E001M, composta pelos colaboradores Vinícius e Maurício, retornava da INC 148563910, quando, ao passar pelo povoado Lagoa Bonita, sentido Esperantinópolis, se deparou com uma patrol da prefeitura da cidade de Poção de Pedras transitando na via. Durante a tentativa de ultrapassagem, a equipe sinalizou corretamente sua intenção de passagem, no entanto, o motorista da PATROL realizou uma conversão repentina à esquerda, colidindo com a lateral do veículo operacional da CGB."/>
    <s v="PAULO SILVA"/>
    <s v="SIM"/>
    <s v="PORÇÃO DE PEDRAS"/>
    <x v="3"/>
    <s v="LEVE"/>
    <s v="SEM AFASTAMENTO"/>
    <s v="NA"/>
    <d v="2025-10-18T00:00:00"/>
    <d v="2025-10-18T00:00:00"/>
    <n v="0"/>
    <s v="NO PRAZO"/>
    <d v="2025-10-19T00:00:00"/>
    <d v="2025-10-19T00:00:00"/>
    <n v="0"/>
    <s v="NO PRAZO"/>
    <d v="2025-10-19T00:00:00"/>
    <d v="2025-10-19T00:00:00"/>
    <n v="0"/>
    <s v="NO PRAZO"/>
    <d v="2025-10-26T00:00:00"/>
    <d v="2025-10-26T00:00:00"/>
    <n v="0"/>
    <s v="NO PRAZO"/>
    <d v="2025-10-27T00:00:00"/>
    <d v="2025-10-27T00:00:00"/>
    <n v="0"/>
    <s v="NO PRAZO"/>
    <d v="2025-10-28T00:00:00"/>
    <d v="2025-10-28T00:00:00"/>
    <n v="0"/>
    <s v="NO PRAZO"/>
    <m/>
    <m/>
    <m/>
    <x v="2"/>
    <s v="SIM"/>
    <s v="NÃO"/>
  </r>
  <r>
    <x v="9"/>
    <d v="2025-10-21T00:00:00"/>
    <s v="EZEQUIAS ARAUJO DE OLIVEIRA"/>
    <x v="52"/>
    <x v="2"/>
    <s v="QUEDA EM ALTURA MENOR QUE &lt; 2 METROS  "/>
    <s v="Na execução da atividade de uma REATIVAÇÃO, a equipe colocou a escada singela no poste metálico de 5 metros para repor o ramal do cliente, no início da subida do eletricista na escada para aplicação do ramal o poste metálico arriou causando a queda. "/>
    <s v="ARLISON ROGERIO"/>
    <s v="NÃO"/>
    <s v="ZÉ DOCA"/>
    <x v="1"/>
    <s v="LEVE"/>
    <s v="SEM AFASTAMENTO"/>
    <s v="NA"/>
    <d v="2025-10-21T00:00:00"/>
    <d v="2025-10-21T00:00:00"/>
    <n v="0"/>
    <s v="NO PRAZO"/>
    <d v="2025-10-22T00:00:00"/>
    <d v="2025-10-22T00:00:00"/>
    <n v="0"/>
    <s v="NO PRAZO"/>
    <d v="2025-10-22T00:00:00"/>
    <d v="2025-10-22T00:00:00"/>
    <n v="0"/>
    <s v="NO PRAZO"/>
    <d v="2025-10-29T00:00:00"/>
    <d v="2025-10-29T00:00:00"/>
    <n v="0"/>
    <s v="NO PRAZO"/>
    <d v="2025-10-30T00:00:00"/>
    <d v="2025-10-30T00:00:00"/>
    <n v="0"/>
    <s v="NO PRAZO"/>
    <d v="2025-10-31T00:00:00"/>
    <d v="2025-10-31T00:00:00"/>
    <n v="0"/>
    <s v="NO PRAZO"/>
    <m/>
    <m/>
    <m/>
    <x v="3"/>
    <s v="SIM"/>
    <m/>
  </r>
  <r>
    <x v="9"/>
    <d v="2025-10-21T00:00:00"/>
    <s v="EDSON TENAKS DOS SANTOS"/>
    <x v="53"/>
    <x v="0"/>
    <s v="TRÂNSITO (COLISÃO, DANOS MATERIAIS) "/>
    <s v="Na execução da atividade de levantamento de obras, o colaborador estava em deslocamento no perímetro urbano de Itapecuru Mirim, quando trafegava por uma avenida o colaborador veio a sofrer uma queda com a moto (causa a ser apurada) no momento em que ocorreu a queda, chovia na cidade, foi encaminhado ao hospital da cidade, passou por atendimento médico, tendo sua alta no mesmo dia sem afastamento. "/>
    <s v="CRISTOPHE DANIEL"/>
    <s v="NÃO"/>
    <s v="ITAPECURU MIRIM"/>
    <x v="5"/>
    <s v="LEVE"/>
    <s v="SEM AFASTAMENTO"/>
    <s v="NA"/>
    <d v="2025-10-21T00:00:00"/>
    <d v="2025-10-21T00:00:00"/>
    <n v="0"/>
    <s v="NO PRAZO"/>
    <d v="2025-10-22T00:00:00"/>
    <d v="2025-10-22T00:00:00"/>
    <n v="0"/>
    <s v="NO PRAZO"/>
    <d v="2025-10-22T00:00:00"/>
    <d v="2025-10-22T00:00:00"/>
    <n v="0"/>
    <s v="NO PRAZO"/>
    <d v="2025-10-29T00:00:00"/>
    <d v="2025-10-29T00:00:00"/>
    <n v="0"/>
    <s v="NO PRAZO"/>
    <d v="2025-10-30T00:00:00"/>
    <d v="2025-10-30T00:00:00"/>
    <n v="0"/>
    <s v="NO PRAZO"/>
    <d v="2025-10-31T00:00:00"/>
    <d v="2025-10-31T00:00:00"/>
    <n v="0"/>
    <s v="NO PRAZO"/>
    <m/>
    <m/>
    <m/>
    <x v="2"/>
    <s v="SIM"/>
    <s v="SIM"/>
  </r>
  <r>
    <x v="10"/>
    <d v="2025-11-02T00:00:00"/>
    <s v="JACKSON FABIO FARIAS GONÇALVES"/>
    <x v="54"/>
    <x v="2"/>
    <s v="TRÂNSITO (COLISÃO, DANOS MATERIAIS) "/>
    <s v="Equipe estava em deslocamento quando dois jumentos atravessaram a estrada correndo e para não bater neles o condutor foi desviar vindo a bater na cerca, causando dando a viatura "/>
    <s v="ARLISON ROGERIO"/>
    <s v="NÃO"/>
    <s v="ALTO ALEGRE DO PINDARÉ"/>
    <x v="1"/>
    <s v="LEVE"/>
    <s v="SEM AFASTAMENTO"/>
    <s v="NA"/>
    <d v="2025-11-02T00:00:00"/>
    <d v="2025-11-02T00:00:00"/>
    <n v="0"/>
    <s v="NO PRAZO"/>
    <d v="2025-11-03T00:00:00"/>
    <d v="2025-11-03T00:00:00"/>
    <n v="0"/>
    <s v="NO PRAZO"/>
    <d v="2025-11-03T00:00:00"/>
    <d v="2025-11-03T00:00:00"/>
    <n v="0"/>
    <s v="NO PRAZO"/>
    <d v="2025-11-10T00:00:00"/>
    <d v="2025-11-10T00:00:00"/>
    <n v="0"/>
    <s v="NO PRAZO"/>
    <d v="2025-11-11T00:00:00"/>
    <d v="2025-11-11T00:00:00"/>
    <n v="0"/>
    <s v="NO PRAZO"/>
    <d v="2025-11-12T00:00:00"/>
    <d v="2025-11-12T00:00:00"/>
    <n v="0"/>
    <s v="NO PRAZO"/>
    <m/>
    <m/>
    <m/>
    <x v="2"/>
    <s v="SIM"/>
    <s v="NÃO"/>
  </r>
  <r>
    <x v="10"/>
    <d v="2025-11-02T00:00:00"/>
    <s v="FABRICIO ALVES DE ARAUJO"/>
    <x v="48"/>
    <x v="2"/>
    <s v="TRÂNSITO (COLISÃO, DANOS MATERIAIS) "/>
    <s v="O colaborador da equipe ITM-E002M, conduzindo a viatura SMP-6C66, deslocava-se para o intervalo de almoço pela Rua Raimundo Álvaro Mendes quando, no cruzamento com a Rua Felício Cassios, ocorreu uma colisão com um VW Gol, placa HQC-9593."/>
    <s v="LEONARDO ESTRELA"/>
    <s v="SIM"/>
    <s v="ITAPECURU MIRIM"/>
    <x v="5"/>
    <s v="LEVE"/>
    <s v="SEM AFASTAMENTO"/>
    <s v="NA"/>
    <d v="2025-11-02T00:00:00"/>
    <d v="2025-11-02T00:00:00"/>
    <n v="0"/>
    <s v="NO PRAZO"/>
    <d v="2025-11-03T00:00:00"/>
    <d v="2025-11-03T00:00:00"/>
    <n v="0"/>
    <s v="NO PRAZO"/>
    <d v="2025-11-03T00:00:00"/>
    <d v="2025-11-03T00:00:00"/>
    <n v="0"/>
    <s v="NO PRAZO"/>
    <d v="2025-11-10T00:00:00"/>
    <d v="2025-11-10T00:00:00"/>
    <n v="0"/>
    <s v="NO PRAZO"/>
    <d v="2025-11-11T00:00:00"/>
    <d v="2025-11-11T00:00:00"/>
    <n v="0"/>
    <s v="NO PRAZO"/>
    <d v="2025-11-12T00:00:00"/>
    <d v="2025-11-12T00:00:00"/>
    <n v="0"/>
    <s v="NO PRAZO"/>
    <m/>
    <m/>
    <m/>
    <x v="2"/>
    <s v="SIM"/>
    <s v="SIM"/>
  </r>
  <r>
    <x v="10"/>
    <d v="2025-11-07T00:00:00"/>
    <s v="FERNANDO DOS SANTOS"/>
    <x v="52"/>
    <x v="2"/>
    <s v="TRÂNSITO (COLISÃO, DANOS MATERIAIS) "/>
    <s v="Equipe ZDC-M001 estava em deslocamento retornando de um DS da localidade de nova conquista, o condutor ao avistar um cavalo foi desviar vindo a bater na cerca, causando danos a viatura "/>
    <s v="ARLISON ROGERIO"/>
    <s v="NÃO"/>
    <s v="ZÉ DOCA"/>
    <x v="1"/>
    <s v="LEVE"/>
    <s v="SEM AFASTAMENTO"/>
    <s v="NA"/>
    <d v="2025-11-07T00:00:00"/>
    <d v="2025-11-07T00:00:00"/>
    <n v="0"/>
    <s v="NO PRAZO"/>
    <d v="2025-11-08T00:00:00"/>
    <d v="2025-11-08T00:00:00"/>
    <n v="0"/>
    <s v="NO PRAZO"/>
    <d v="2025-11-08T00:00:00"/>
    <d v="2025-11-08T00:00:00"/>
    <n v="0"/>
    <s v="NO PRAZO"/>
    <d v="2025-11-15T00:00:00"/>
    <d v="2025-11-15T00:00:00"/>
    <n v="0"/>
    <s v="NO PRAZO"/>
    <d v="2025-11-16T00:00:00"/>
    <d v="2025-11-16T00:00:00"/>
    <n v="0"/>
    <s v="NO PRAZO"/>
    <d v="2025-11-17T00:00:00"/>
    <d v="2025-11-17T00:00:00"/>
    <n v="0"/>
    <s v="NO PRAZO"/>
    <m/>
    <m/>
    <m/>
    <x v="2"/>
    <s v="SIM"/>
    <s v="NÃO"/>
  </r>
  <r>
    <x v="10"/>
    <d v="2025-11-09T00:00:00"/>
    <s v="ALAN ARAUJO DA CONCEIÇÃO"/>
    <x v="55"/>
    <x v="2"/>
    <s v="TRÂNSITO (COLISÃO, DANOS MATERIAIS) "/>
    <s v=" Equipe PDT-E001 estava em deslocamento  a uma RL, religação no Bairro Campo Dantas, o condutor estava parado em um cruzamento aguardando o trânsito passar para seguir adiante, nesse momento duas motocicletas colidiram uma na outra após um quebra molas seguindo em direção a viatura da equipe que estava parada vindo a colidir na equipe, causando danos a viatura "/>
    <s v="MARCOS ALENCAR"/>
    <s v="SIM"/>
    <s v="PRESIDENTE DUTRA"/>
    <x v="0"/>
    <s v="LEVE"/>
    <s v="SEM AFASTAMENTO"/>
    <s v="NA"/>
    <d v="2025-11-09T00:00:00"/>
    <d v="2025-11-09T00:00:00"/>
    <n v="0"/>
    <s v="NO PRAZO"/>
    <d v="2025-11-10T00:00:00"/>
    <d v="2025-11-10T00:00:00"/>
    <n v="0"/>
    <s v="NO PRAZO"/>
    <d v="2025-11-10T00:00:00"/>
    <d v="2025-11-10T00:00:00"/>
    <n v="0"/>
    <s v="NO PRAZO"/>
    <d v="2025-11-17T00:00:00"/>
    <d v="2025-11-17T00:00:00"/>
    <n v="0"/>
    <s v="NO PRAZO"/>
    <d v="2025-11-18T00:00:00"/>
    <d v="2025-11-18T00:00:00"/>
    <n v="0"/>
    <s v="NO PRAZO"/>
    <d v="2025-11-19T00:00:00"/>
    <d v="2025-11-19T00:00:00"/>
    <n v="0"/>
    <s v="NO PRAZO"/>
    <m/>
    <m/>
    <m/>
    <x v="2"/>
    <s v="SIM"/>
    <s v="NÃO"/>
  </r>
  <r>
    <x v="10"/>
    <d v="2025-11-27T00:00:00"/>
    <s v="FERNANDO MELO DA COSTA"/>
    <x v="8"/>
    <x v="0"/>
    <s v="TRÂNSITO (COLISÃO, DANOS MATERIAIS) "/>
    <s v="A equipe PDS-350 realizava deslocamento de Pedreiras com destino ao Povoado Três Lagoas dos Piraca, no município de São Raimundo Doca Bezerra/MA, para instalação de banco de capacitores em atendimento à SI81453, alimentador LGM01C1. Ao se aproximar do Povoado Café Sem Troco, no trecho entre os municípios de Esperantinópolis e São Roberto/MA, o caminhão reduziu a velocidade para transposição de uma lombada, momento em que uma motocicleta conduzida por terceiro colidiu na parte traseira do veículo."/>
    <s v="JOÃO CLIMACO"/>
    <s v="SIM"/>
    <s v="SÃO ROBERTO"/>
    <x v="3"/>
    <s v="LEVE"/>
    <s v="SEM AFASTAMENTO"/>
    <s v="NA"/>
    <d v="2025-11-27T00:00:00"/>
    <d v="2025-11-27T00:00:00"/>
    <n v="0"/>
    <s v="NO PRAZO"/>
    <d v="2025-11-28T00:00:00"/>
    <d v="2025-11-28T00:00:00"/>
    <n v="0"/>
    <s v="NO PRAZO"/>
    <d v="2025-11-28T00:00:00"/>
    <d v="2025-11-28T00:00:00"/>
    <n v="0"/>
    <s v="NO PRAZO"/>
    <d v="2025-12-05T00:00:00"/>
    <d v="2025-12-05T00:00:00"/>
    <n v="0"/>
    <s v="NO PRAZO"/>
    <d v="2025-12-06T00:00:00"/>
    <d v="2025-12-06T00:00:00"/>
    <n v="0"/>
    <s v="NO PRAZO"/>
    <d v="2025-12-07T00:00:00"/>
    <d v="2025-12-07T00:00:00"/>
    <n v="0"/>
    <s v="NO PRAZO"/>
    <m/>
    <m/>
    <m/>
    <x v="2"/>
    <s v="SIM"/>
    <s v="NÃO"/>
  </r>
  <r>
    <x v="0"/>
    <d v="2026-01-20T00:00:00"/>
    <s v="RAFAEL CHAGAS DA COSTA"/>
    <x v="56"/>
    <x v="2"/>
    <s v="TRÂNSITO (COLISÃO, DANOS MATERIAIS) "/>
    <s v="Equipe MA-STL-M001M, estava  em deslocamento após término da atividade, quando em certo momento do trajeto a equipe foi realizar uma conversão à esquerda, e foi surpreendida por um motoqueiro em alta velocidade na direção contrária, que acertou de raspão a viatura e logo após caiu."/>
    <s v="ARLISON ROGERIO"/>
    <s v="SIM"/>
    <s v="SANTA LUZIA DO TIDE"/>
    <x v="1"/>
    <s v="LEVE"/>
    <s v="SEM AFASTAMENTO"/>
    <s v="NA"/>
    <d v="2026-01-20T00:00:00"/>
    <d v="2026-01-20T00:00:00"/>
    <n v="0"/>
    <s v="NO PRAZO"/>
    <d v="2026-01-21T00:00:00"/>
    <d v="2026-01-21T00:00:00"/>
    <n v="0"/>
    <s v="NO PRAZO"/>
    <d v="2026-01-21T00:00:00"/>
    <d v="2026-01-21T00:00:00"/>
    <n v="0"/>
    <s v="NO PRAZO"/>
    <d v="2026-01-28T00:00:00"/>
    <d v="2026-01-28T00:00:00"/>
    <n v="0"/>
    <s v="NO PRAZO"/>
    <d v="2026-01-29T00:00:00"/>
    <d v="2026-01-29T00:00:00"/>
    <n v="0"/>
    <s v="NO PRAZO"/>
    <d v="2026-01-30T00:00:00"/>
    <d v="2026-01-30T00:00:00"/>
    <n v="0"/>
    <s v="NO PRAZO"/>
    <m/>
    <m/>
    <m/>
    <x v="2"/>
    <s v="SIM"/>
    <s v="NÃO"/>
  </r>
  <r>
    <x v="0"/>
    <d v="2026-01-21T00:00:00"/>
    <s v="LUIS FILLYPE LIMA"/>
    <x v="57"/>
    <x v="2"/>
    <s v="QUEDA DE DIFERENÇA DE NIVEL "/>
    <s v="A equipe MA-BCB-E003M retornava, por volta das 17h16, do atendimento da nota nº 1109425686, referente a ligação nova, do povoado Brejinho com destino à cidade de Bacabal. Durante o trajeto, entre os povoados Brejinho e Aldeia, houve parada do veículo a pedido de um colaborador para atender a uma necessidade fisiológica."/>
    <s v="DEILTON COSTA"/>
    <s v="NÃO"/>
    <s v="BACABAL"/>
    <x v="2"/>
    <s v="LEVE"/>
    <s v="SEM AFASTAMENTO"/>
    <s v="NA"/>
    <d v="2026-01-21T00:00:00"/>
    <d v="2026-01-21T00:00:00"/>
    <n v="0"/>
    <s v="NO PRAZO"/>
    <d v="2026-01-22T00:00:00"/>
    <d v="2026-01-22T00:00:00"/>
    <n v="0"/>
    <s v="NO PRAZO"/>
    <d v="2026-01-22T00:00:00"/>
    <d v="2026-01-22T00:00:00"/>
    <n v="0"/>
    <s v="NO PRAZO"/>
    <d v="2026-01-29T00:00:00"/>
    <d v="2026-01-29T00:00:00"/>
    <n v="0"/>
    <s v="NO PRAZO"/>
    <d v="2026-01-30T00:00:00"/>
    <d v="2026-01-30T00:00:00"/>
    <n v="0"/>
    <s v="NO PRAZO"/>
    <d v="2026-01-31T00:00:00"/>
    <d v="2026-01-31T00:00:00"/>
    <n v="0"/>
    <s v="NO PRAZO"/>
    <m/>
    <m/>
    <m/>
    <x v="4"/>
    <s v="SIM"/>
    <m/>
  </r>
  <r>
    <x v="0"/>
    <d v="2026-01-24T00:00:00"/>
    <s v="JOSÉ RIBAMAR SILVA"/>
    <x v="22"/>
    <x v="0"/>
    <s v="GOLPEADO POR (ATINGIDO POR OBJETO EM MOVIMENTO)"/>
    <s v="O colaborador realizava a abertura de caminho para acesso ao local de trabalho quando, ao utilizar um facão, atingiu o próprio pé esquerdo."/>
    <s v="WERBETH"/>
    <s v="NÃO"/>
    <s v="ENTRONCAMENTO"/>
    <x v="5"/>
    <s v="LEVE"/>
    <s v="COM AFASTAMENTO"/>
    <s v="1.1.0000000037831998173"/>
    <d v="2026-01-24T00:00:00"/>
    <d v="2026-01-24T00:00:00"/>
    <n v="0"/>
    <s v="NO PRAZO"/>
    <d v="2026-01-25T00:00:00"/>
    <d v="2026-01-25T00:00:00"/>
    <n v="0"/>
    <s v="NO PRAZO"/>
    <d v="2026-01-25T00:00:00"/>
    <d v="2026-01-25T00:00:00"/>
    <n v="0"/>
    <s v="NO PRAZO"/>
    <d v="2026-02-01T00:00:00"/>
    <d v="2026-02-01T00:00:00"/>
    <n v="0"/>
    <s v="NO PRAZO"/>
    <d v="2026-02-02T00:00:00"/>
    <d v="2026-02-02T00:00:00"/>
    <n v="0"/>
    <s v="NO PRAZO"/>
    <d v="2026-02-03T00:00:00"/>
    <d v="2026-02-03T00:00:00"/>
    <n v="0"/>
    <s v="NO PRAZO"/>
    <m/>
    <m/>
    <m/>
    <x v="0"/>
    <s v="SIM"/>
    <m/>
  </r>
  <r>
    <x v="0"/>
    <d v="2026-01-26T00:00:00"/>
    <s v="LUCAS MATIAS DA SILVA"/>
    <x v="58"/>
    <x v="3"/>
    <s v="TRÂNSITO (COLISÃO, DANOS MATERIAIS) "/>
    <s v="O colaborador Lucas Matias da Silva estava se deslocando até o campo de postes da CGB para contagem de materiais.No meio do percurso, em upontodeumaesquina estreita, o condutor avistou um carro que se aproximava no sentido contrário, e teve a percepção que os dois veículos encostariam um no outro com possibilidade de dano nos dois carros. "/>
    <s v="CAMILA"/>
    <s v="NÃO"/>
    <s v="BARRA DO CORDA"/>
    <x v="4"/>
    <s v="LEVE"/>
    <s v="SEM AFASTAMENTO"/>
    <s v="NA"/>
    <d v="2026-01-26T00:00:00"/>
    <d v="2026-01-26T00:00:00"/>
    <n v="0"/>
    <s v="NO PRAZO"/>
    <d v="2026-01-27T00:00:00"/>
    <d v="2026-01-27T00:00:00"/>
    <n v="0"/>
    <s v="NO PRAZO"/>
    <d v="2026-01-27T00:00:00"/>
    <d v="2026-01-27T00:00:00"/>
    <n v="0"/>
    <s v="NO PRAZO"/>
    <d v="2026-02-03T00:00:00"/>
    <d v="2026-02-03T00:00:00"/>
    <n v="0"/>
    <s v="NO PRAZO"/>
    <d v="2026-02-04T00:00:00"/>
    <d v="2026-02-04T00:00:00"/>
    <n v="0"/>
    <s v="NO PRAZO"/>
    <d v="2026-02-05T00:00:00"/>
    <d v="2026-02-05T00:00:00"/>
    <n v="0"/>
    <s v="NO PRAZO"/>
    <m/>
    <m/>
    <m/>
    <x v="2"/>
    <s v="SIM"/>
    <s v="NÃO"/>
  </r>
  <r>
    <x v="0"/>
    <d v="2026-01-27T00:00:00"/>
    <s v="DANIZAR DE PAIVA VALE"/>
    <x v="59"/>
    <x v="1"/>
    <s v="TRÂNSITO (COLISÃO, DANOS MATERIAIS) "/>
    <s v="A equipe MA-PDT-F006M encontrava-se em deslocamento para atendimento de uma NR no município de Gonçalves Dias/MA. Durante o trajeto, ao permanecer parada em um ponto de controle de tráfego do tipo “pare e siga”, após a liberação do fluxo de veículos, uma carreta realizou ultrapassagem irregular da fila de veículos que aguardavam a liberação, vindo a colidir lateralmente com o retrovisor da viatura da equipe, a qual ainda permanecia imobilizada, aguardando condições seguras para retomar o deslocamento."/>
    <s v="ANTONIO MARCOS SALAZAR"/>
    <s v="SIM"/>
    <s v="DOM PEDRO"/>
    <x v="0"/>
    <s v="LEVE"/>
    <s v="SEM AFASTAMENTO"/>
    <s v="NA"/>
    <d v="2026-01-27T00:00:00"/>
    <d v="2026-01-27T00:00:00"/>
    <n v="0"/>
    <s v="NO PRAZO"/>
    <d v="2026-01-28T00:00:00"/>
    <d v="2026-01-28T00:00:00"/>
    <n v="0"/>
    <s v="NO PRAZO"/>
    <d v="2026-01-28T00:00:00"/>
    <d v="2026-01-28T00:00:00"/>
    <n v="0"/>
    <s v="NO PRAZO"/>
    <d v="2026-02-04T00:00:00"/>
    <d v="2026-02-04T00:00:00"/>
    <n v="0"/>
    <s v="NO PRAZO"/>
    <d v="2026-02-05T00:00:00"/>
    <d v="2026-02-05T00:00:00"/>
    <n v="0"/>
    <s v="NO PRAZO"/>
    <d v="2026-02-06T00:00:00"/>
    <d v="2026-02-06T00:00:00"/>
    <n v="0"/>
    <s v="NO PRAZO"/>
    <m/>
    <m/>
    <m/>
    <x v="2"/>
    <s v="SIM"/>
    <s v="NÃO"/>
  </r>
  <r>
    <x v="0"/>
    <d v="2026-01-31T00:00:00"/>
    <s v="JOSE BONIFACIO MARQUES"/>
    <x v="60"/>
    <x v="2"/>
    <s v="TRÂNSITO (COLISÃO, DANOS MATERIAIS) "/>
    <s v="A equipe MA-STI-E001M estava em deslocamento para encerramento do turno quando houve colisão traseira da viatura com um caminhão que se encontrava  frente na via, resultando em danos materiai"/>
    <s v="ARLISON ROGERIO"/>
    <s v="SIM"/>
    <s v="SANTA INÊS"/>
    <x v="1"/>
    <s v="LEVE"/>
    <s v="SEM AFASTAMENTO"/>
    <s v="NA"/>
    <d v="2026-01-31T00:00:00"/>
    <d v="2026-01-31T00:00:00"/>
    <n v="0"/>
    <s v="NO PRAZO"/>
    <d v="2026-02-01T00:00:00"/>
    <d v="2026-02-01T00:00:00"/>
    <n v="0"/>
    <s v="NO PRAZO"/>
    <d v="2026-02-01T00:00:00"/>
    <d v="2026-02-01T00:00:00"/>
    <n v="0"/>
    <s v="NO PRAZO"/>
    <d v="2026-02-08T00:00:00"/>
    <d v="2026-02-08T00:00:00"/>
    <n v="0"/>
    <s v="NO PRAZO"/>
    <d v="2026-02-09T00:00:00"/>
    <d v="2026-02-09T00:00:00"/>
    <n v="0"/>
    <s v="NO PRAZO"/>
    <d v="2026-02-10T00:00:00"/>
    <d v="2026-02-10T00:00:00"/>
    <n v="0"/>
    <s v="NO PRAZO"/>
    <m/>
    <m/>
    <m/>
    <x v="2"/>
    <s v="SIM"/>
    <s v="NÃO"/>
  </r>
  <r>
    <x v="1"/>
    <d v="2026-02-09T00:00:00"/>
    <s v="EVERALDO NOGUEIRA FILHO"/>
    <x v="61"/>
    <x v="0"/>
    <s v="TRÂNSITO (COLISÃO, DANOS MATERIAIS) "/>
    <s v="Próximo a PRF de Peritoró, parei a viatura no acostamento, para atender necessidades fisiológicas e quando sai do carro notei uma carreta que se aproximava em alta velocidade. Vendo a situação, encostei-me na lateral do carro e aguardei a carreta passar. Quando a carreta passou o deslocamento do ar fez a porta do motorista se abrir, (não estava trancada) vindo a bater contra a lateral do baú e amassado a porta."/>
    <s v="RICARDO MALTA"/>
    <s v="SIM"/>
    <s v="PERITÓRO"/>
    <x v="2"/>
    <s v="LEVE"/>
    <s v="SEM AFASTAMENTO"/>
    <s v="NA"/>
    <d v="2026-02-09T00:00:00"/>
    <d v="2026-02-09T00:00:00"/>
    <n v="0"/>
    <s v="NO PRAZO"/>
    <d v="2026-02-10T00:00:00"/>
    <d v="2026-02-10T00:00:00"/>
    <n v="0"/>
    <s v="NO PRAZO"/>
    <d v="2026-02-10T00:00:00"/>
    <d v="2026-02-10T00:00:00"/>
    <n v="0"/>
    <s v="NO PRAZO"/>
    <d v="2026-02-17T00:00:00"/>
    <d v="2026-02-17T00:00:00"/>
    <n v="0"/>
    <s v="NO PRAZO"/>
    <d v="2026-02-18T00:00:00"/>
    <d v="2026-02-18T00:00:00"/>
    <n v="0"/>
    <s v="NO PRAZO"/>
    <d v="2026-02-19T00:00:00"/>
    <d v="2026-02-19T00:00:00"/>
    <n v="0"/>
    <s v="NO PRAZO"/>
    <m/>
    <m/>
    <m/>
    <x v="2"/>
    <s v="SIM"/>
    <s v="NÃO"/>
  </r>
  <r>
    <x v="1"/>
    <d v="2026-02-17T00:00:00"/>
    <s v="MARCOS ANTONIO DA SILVA"/>
    <x v="62"/>
    <x v="6"/>
    <s v="TRÂNSITO (COLISÃO, DANOS MATERIAIS) "/>
    <s v="Em uma conversão a esquerda, na  Avenida Campo Dantas, um jovem com nome Marcos Antônio Alves Lima conduzindo uma Honda Cb500 cilindradas, fez a ultrapassagem indevida e bateu de raspão na lateral do carro, na porta esquerda, o condutor da moto estava atrás do carro vindo no mesmo sentido. "/>
    <s v="PRYSCILLA OLIVEIRA"/>
    <s v="NÃO"/>
    <s v="PRESIDENTE DUTRA"/>
    <x v="0"/>
    <s v="LEVE"/>
    <s v="SEM AFASTAMENTO"/>
    <s v="NA"/>
    <d v="2026-02-17T00:00:00"/>
    <d v="2026-02-17T00:00:00"/>
    <n v="0"/>
    <s v="NO PRAZO"/>
    <d v="2026-02-18T00:00:00"/>
    <d v="2026-02-18T00:00:00"/>
    <n v="0"/>
    <s v="NO PRAZO"/>
    <d v="2026-02-18T00:00:00"/>
    <d v="2026-02-18T00:00:00"/>
    <n v="0"/>
    <s v="NO PRAZO"/>
    <d v="2026-02-25T00:00:00"/>
    <d v="2026-02-25T00:00:00"/>
    <n v="0"/>
    <s v="NO PRAZO"/>
    <d v="2026-02-26T00:00:00"/>
    <d v="2026-02-26T00:00:00"/>
    <n v="0"/>
    <s v="NO PRAZO"/>
    <d v="2026-02-27T00:00:00"/>
    <d v="2026-02-27T00:00:00"/>
    <n v="0"/>
    <s v="NO PRAZO"/>
    <m/>
    <m/>
    <m/>
    <x v="2"/>
    <s v="SIM"/>
    <s v="SIM"/>
  </r>
  <r>
    <x v="1"/>
    <d v="2026-02-19T00:00:00"/>
    <s v="JOSE MARIA FELIPE"/>
    <x v="50"/>
    <x v="0"/>
    <s v="TRÂNSITO (COLISÃO, DANOS MATERIAIS) "/>
    <s v="Informamos que a equipe PDS303 estava em deslocamento para atendimento de uma NR, no trajeto entre os municípios de Lago da Pedra e Paulo Ramos, quando uma caçamba que vinha em sentido contrário invadiu a contramão ao tentar desviar de um buraco na pista, ocasionando colisão entre os retrovisores dos dois veículos._x000a_Onde o colaborador Zé Maria (motorista) foi atingido por estilhaços do vidro que quebrou, sofrendo pequenos cortes superficiais no rosto. Foi encaminhado ao hospital, e após realização dos primeiros socorros o colaborador foi liberado, para retornar as atividades."/>
    <s v="MESSIAS ABREU"/>
    <s v="NÃO"/>
    <s v="PAULO RAMOS"/>
    <x v="3"/>
    <s v="LEVE"/>
    <s v="SEM AFASTAMENTO"/>
    <s v="NA"/>
    <d v="2026-02-19T00:00:00"/>
    <d v="2026-02-19T00:00:00"/>
    <n v="0"/>
    <s v="NO PRAZO"/>
    <d v="2026-02-20T00:00:00"/>
    <d v="2026-02-20T00:00:00"/>
    <n v="0"/>
    <s v="NO PRAZO"/>
    <d v="2026-02-20T00:00:00"/>
    <d v="2026-02-20T00:00:00"/>
    <n v="0"/>
    <s v="NO PRAZO"/>
    <d v="2026-02-27T00:00:00"/>
    <d v="2026-02-27T00:00:00"/>
    <n v="0"/>
    <s v="NO PRAZO"/>
    <d v="2026-02-28T00:00:00"/>
    <d v="2026-02-28T00:00:00"/>
    <n v="0"/>
    <s v="NO PRAZO"/>
    <d v="2026-03-01T00:00:00"/>
    <d v="2026-03-01T00:00:00"/>
    <n v="0"/>
    <s v="NO PRAZO"/>
    <m/>
    <m/>
    <m/>
    <x v="2"/>
    <s v="SIM"/>
    <s v="NÃO"/>
  </r>
  <r>
    <x v="1"/>
    <d v="2026-02-24T00:00:00"/>
    <s v="EDVAN DRO NASCIMENTO SILVA"/>
    <x v="18"/>
    <x v="1"/>
    <s v="TRÂNSITO (COLISÃO, DANOS MATERIAIS) "/>
    <s v="A equipe MA-PDS-F008M, após concluir um serviço de inspeção, deslocava-se para o intervalo de almoço quando, nas proximidades do povoado Creoli, no município de Santo Antônio dos Lopes, trafegava por um trecho de estrada rural em aclive e com baixa visibilidade. No sentido contrário da via, trafegava outro veículo da CGB Energia (placa SNS7C99), nas mesmas condições de visibilidade. Ao atingirem o ponto mais alto da via, ocorreu uma colisão lateral esquerda entre os veículos."/>
    <s v="ANTONIO MARCOS SALAZAR"/>
    <s v="SIM"/>
    <s v="SANTO ANTONIO DOS LOPES"/>
    <x v="3"/>
    <s v="LEVE"/>
    <s v="SEM AFASTAMENTO"/>
    <s v="NA"/>
    <d v="2026-02-24T00:00:00"/>
    <d v="2026-02-24T00:00:00"/>
    <n v="0"/>
    <s v="NO PRAZO"/>
    <d v="2026-02-25T00:00:00"/>
    <d v="2026-02-25T00:00:00"/>
    <n v="0"/>
    <s v="NO PRAZO"/>
    <d v="2026-02-25T00:00:00"/>
    <d v="2026-02-25T00:00:00"/>
    <n v="0"/>
    <s v="NO PRAZO"/>
    <d v="2026-03-04T00:00:00"/>
    <d v="2026-03-04T00:00:00"/>
    <n v="0"/>
    <s v="NO PRAZO"/>
    <d v="2026-03-05T00:00:00"/>
    <d v="2026-03-05T00:00:00"/>
    <n v="0"/>
    <s v="NO PRAZO"/>
    <d v="2026-03-06T00:00:00"/>
    <d v="2026-03-06T00:00:00"/>
    <n v="0"/>
    <s v="NO PRAZO"/>
    <m/>
    <m/>
    <m/>
    <x v="2"/>
    <s v="SIM"/>
    <m/>
  </r>
  <r>
    <x v="1"/>
    <d v="2026-02-24T00:00:00"/>
    <s v="CICERO VIEIRA DOS SANTOS"/>
    <x v="0"/>
    <x v="0"/>
    <s v="TRÂNSITO (COLISÃO, DANOS MATERIAIS) "/>
    <s v="Em um trecho de areia, com vegetação alta, o caminhão estava carregado com dois postes danificados da ocorrência. Ao passar pelo local, um galho de árvore entrou entre os postes e danificou a cabine auxiliar._x000a_Ao perceber que algo havia atingido o caminhão, o motorista parou o veículo e verificou que havia um galho preso aos postes. Devido à baixa luminosidade no momento, o motorista não visualizou o galho anteriormente._x000a_Em seguida, o encarregado entrou em contato com a supervisão, evidenciando e relatando o ocorrido."/>
    <s v="RAIMUNDO NONATO"/>
    <s v="NÃO"/>
    <s v="SÃO DOMINGOS DO MARANHÃO"/>
    <x v="0"/>
    <s v="LEVE"/>
    <s v="SEM AFASTAMENTO"/>
    <s v="NA"/>
    <d v="2026-02-24T00:00:00"/>
    <d v="2026-02-24T00:00:00"/>
    <n v="0"/>
    <s v="NO PRAZO"/>
    <d v="2026-02-25T00:00:00"/>
    <d v="2026-02-25T00:00:00"/>
    <n v="0"/>
    <s v="NO PRAZO"/>
    <d v="2026-02-25T00:00:00"/>
    <d v="2026-02-25T00:00:00"/>
    <n v="0"/>
    <s v="NO PRAZO"/>
    <d v="2026-03-04T00:00:00"/>
    <d v="2026-03-04T00:00:00"/>
    <n v="0"/>
    <s v="NO PRAZO"/>
    <d v="2026-03-05T00:00:00"/>
    <d v="2026-03-05T00:00:00"/>
    <n v="0"/>
    <s v="NO PRAZO"/>
    <d v="2026-03-06T00:00:00"/>
    <d v="2026-03-06T00:00:00"/>
    <n v="0"/>
    <s v="NO PRAZO"/>
    <m/>
    <m/>
    <m/>
    <x v="2"/>
    <s v="SIM"/>
    <s v="NÃO"/>
  </r>
  <r>
    <x v="2"/>
    <d v="2026-03-02T00:00:00"/>
    <s v="ARLISON ROGERIO MARTINS"/>
    <x v="61"/>
    <x v="2"/>
    <s v="TRÂNSITO (COLISÃO, DANOS MATERIAIS) "/>
    <s v="o veiculo de placa SMP0E62 (CGB) modelo polo estava parado quando um veículo FIAT strada de placa SMX8H99 tentou desviar de uma animal, perdeu o controle e chocou-se contra o veiculo da CGB causando danos materiais."/>
    <s v="JAMERSON MIRANDA"/>
    <s v="SIM"/>
    <s v="SANTA INÊS"/>
    <x v="1"/>
    <s v="LEVE"/>
    <s v="SEM AFASTAMENTO"/>
    <s v="NA"/>
    <d v="2026-03-02T00:00:00"/>
    <d v="2026-03-02T00:00:00"/>
    <n v="0"/>
    <s v="NO PRAZO"/>
    <d v="2026-03-03T00:00:00"/>
    <d v="2026-03-03T00:00:00"/>
    <n v="0"/>
    <s v="NO PRAZO"/>
    <d v="2026-03-03T00:00:00"/>
    <d v="2026-03-03T00:00:00"/>
    <n v="0"/>
    <s v="NO PRAZO"/>
    <d v="2026-03-10T00:00:00"/>
    <d v="2026-03-10T00:00:00"/>
    <n v="0"/>
    <s v="NO PRAZO"/>
    <d v="2026-03-11T00:00:00"/>
    <d v="2026-03-11T00:00:00"/>
    <n v="0"/>
    <s v="NO PRAZO"/>
    <d v="2026-03-12T00:00:00"/>
    <d v="2026-03-12T00:00:00"/>
    <n v="0"/>
    <s v="NO PRAZO"/>
    <m/>
    <m/>
    <m/>
    <x v="2"/>
    <s v="SIM"/>
    <s v="NÃO"/>
  </r>
  <r>
    <x v="2"/>
    <d v="2026-03-05T00:00:00"/>
    <s v="EVERALDO NOGUEIRA FILHO"/>
    <x v="61"/>
    <x v="0"/>
    <s v="TRÂNSITO (COLISÃO, DANOS MATERIAIS) "/>
    <s v="o veiculo de placa SMP0E65 (CGB) modelo polo estava em deslocamento lento atrás de outros veículos que estavam mais lentos quando um caminhão de placa PTT8G06 bateu na traseira da Mitsubishi L200 de placa SJW8C53 que por fim chocou-se contra a traseira do veiculo da CGB causando danos materiais."/>
    <s v="RICARDO MALTA"/>
    <s v="SIM"/>
    <s v="SANTA LUZIA DO TIDE"/>
    <x v="1"/>
    <s v="LEVE"/>
    <s v="SEM AFASTAMENTO"/>
    <s v="NA"/>
    <d v="2026-03-05T00:00:00"/>
    <d v="2026-03-05T00:00:00"/>
    <n v="0"/>
    <s v="NO PRAZO"/>
    <d v="2026-03-06T00:00:00"/>
    <d v="2026-03-06T00:00:00"/>
    <n v="0"/>
    <s v="NO PRAZO"/>
    <d v="2026-03-06T00:00:00"/>
    <d v="2026-03-06T00:00:00"/>
    <n v="0"/>
    <s v="NO PRAZO"/>
    <d v="2026-03-13T00:00:00"/>
    <d v="2026-03-13T00:00:00"/>
    <n v="0"/>
    <s v="NO PRAZO"/>
    <d v="2026-03-14T00:00:00"/>
    <d v="2026-03-14T00:00:00"/>
    <n v="0"/>
    <s v="NO PRAZO"/>
    <d v="2026-03-15T00:00:00"/>
    <d v="2026-03-15T00:00:00"/>
    <n v="0"/>
    <s v="NO PRAZO"/>
    <m/>
    <m/>
    <m/>
    <x v="2"/>
    <s v="SIM"/>
    <s v="NÃO"/>
  </r>
  <r>
    <x v="2"/>
    <d v="2026-03-09T00:00:00"/>
    <s v="FLAVIO TEXEIRA DE BRITO"/>
    <x v="63"/>
    <x v="2"/>
    <s v="TRÂNSITO (COLISÃO, DANOS MATERIAIS) "/>
    <s v="Ao retornar de uma ocorrência (INC 416036528) na localidade Baixão Grande, no município de Tuntum, por volta das 00h30, a equipe TTM-E001M realizava deslocamento quando o condutor da viatura iniciou uma conversão à esquerda, no sentido da Garagem._x000a_Durante a manobra, dois indivíduos que trafegavam em uma motocicleta modelo Pop 110, em alta velocidade, tentaram realizar uma ultrapassagem e acabaram colidindo com a lateral da viatura._x000a_Do ocorrido, foram registrados apenas danos materiais. A motocicleta envolvida não possuía placa de identificação."/>
    <s v="FRANCISCA GLEYCIMARA"/>
    <s v="SIM"/>
    <s v="TUNTUM"/>
    <x v="0"/>
    <s v="LEVE"/>
    <s v="SEM AFASTAMENTO"/>
    <s v="NA"/>
    <d v="2026-03-09T00:00:00"/>
    <d v="2026-03-09T00:00:00"/>
    <n v="0"/>
    <s v="NO PRAZO"/>
    <d v="2026-03-10T00:00:00"/>
    <d v="2026-03-10T00:00:00"/>
    <n v="0"/>
    <s v="NO PRAZO"/>
    <d v="2026-03-10T00:00:00"/>
    <d v="2026-03-10T00:00:00"/>
    <n v="0"/>
    <s v="NO PRAZO"/>
    <d v="2026-03-17T00:00:00"/>
    <d v="2026-03-17T00:00:00"/>
    <n v="0"/>
    <s v="NO PRAZO"/>
    <d v="2026-03-18T00:00:00"/>
    <d v="2026-03-18T00:00:00"/>
    <n v="0"/>
    <s v="NO PRAZO"/>
    <d v="2026-03-19T00:00:00"/>
    <d v="2026-03-19T00:00:00"/>
    <n v="0"/>
    <s v="NO PRAZO"/>
    <m/>
    <m/>
    <m/>
    <x v="2"/>
    <s v="SIM"/>
    <s v="NÃO"/>
  </r>
  <r>
    <x v="2"/>
    <d v="2026-03-25T00:00:00"/>
    <s v="LUIS GONZAGA DA CONCEIÇÃO"/>
    <x v="64"/>
    <x v="0"/>
    <s v="TRÂNSITO (COLISÃO, DANOS MATERIAIS) "/>
    <s v="O veículo de placa ROU6E53 (CGB) modelo VW/DELIVERY (Caminhão da equipe TAT)  estava em deslocamento para o município de Vitorino Freire, ao realizar a conversão à direita para sair da Rua Djalma Dutra em Bacabal, para acessar a Rodovia Cap. Pedro Teixeira, o veículo da placa ROQ7J27 fez uma ultrapassagem pela direita e colidiu na lateral direita traseira do caminhão ROU6E53 atingindo a carroceria do caminhão, não houve danos no veículo da CGB. O terceiro evadiu-se do local."/>
    <s v="MIKEIAS VELOSO"/>
    <s v="SIM"/>
    <s v="BACABAL"/>
    <x v="2"/>
    <s v="LEVE"/>
    <s v="SEM AFASTAMENTO"/>
    <s v="NA"/>
    <d v="2026-03-25T00:00:00"/>
    <d v="2026-03-25T00:00:00"/>
    <n v="0"/>
    <s v="NO PRAZO"/>
    <d v="2026-03-26T00:00:00"/>
    <d v="2026-03-26T00:00:00"/>
    <n v="0"/>
    <s v="NO PRAZO"/>
    <d v="2026-03-26T00:00:00"/>
    <d v="2026-03-26T00:00:00"/>
    <n v="0"/>
    <s v="NO PRAZO"/>
    <d v="2026-04-02T00:00:00"/>
    <d v="2026-04-02T00:00:00"/>
    <n v="0"/>
    <s v="NO PRAZO"/>
    <d v="2026-04-03T00:00:00"/>
    <d v="2026-04-03T00:00:00"/>
    <n v="0"/>
    <s v="NO PRAZO"/>
    <d v="2026-04-04T00:00:00"/>
    <d v="2026-04-04T00:00:00"/>
    <n v="0"/>
    <s v="NO PRAZO"/>
    <m/>
    <m/>
    <m/>
    <x v="2"/>
    <s v="SIM"/>
    <s v="NÃO"/>
  </r>
  <r>
    <x v="2"/>
    <d v="2026-03-30T00:00:00"/>
    <s v="JULIO CESAR CAMPOS SILVA"/>
    <x v="26"/>
    <x v="2"/>
    <s v="TRÂNSITO (COLISÃO, DANOS MATERIAIS) "/>
    <s v="Por volta de 00h30, nas proximidades da entrada do município de Esperantinópolis, o condutor da viatura apresentou um possível episódio de sonolência momentânea, resultando na saída do veículo da pista, perda de controle direcional e colisão com uma estrutura pertencente ao alimentador IGG09N1, da Equatorial."/>
    <s v="RAIMUNDO HERMESSON"/>
    <s v="NÃO"/>
    <s v="ESPERANTINOPOLIS"/>
    <x v="3"/>
    <s v="LEVE"/>
    <s v="SEM AFASTAMENTO"/>
    <s v="NA"/>
    <d v="2026-03-30T00:00:00"/>
    <d v="2026-03-30T00:00:00"/>
    <n v="0"/>
    <s v="NO PRAZO"/>
    <d v="2026-03-31T00:00:00"/>
    <d v="2026-03-31T00:00:00"/>
    <n v="0"/>
    <s v="NO PRAZO"/>
    <d v="2026-03-31T00:00:00"/>
    <d v="2026-03-31T00:00:00"/>
    <n v="0"/>
    <s v="NO PRAZO"/>
    <d v="2026-04-07T00:00:00"/>
    <d v="2026-04-07T00:00:00"/>
    <n v="0"/>
    <s v="NO PRAZO"/>
    <d v="2026-04-08T00:00:00"/>
    <d v="2026-04-08T00:00:00"/>
    <n v="0"/>
    <s v="NO PRAZO"/>
    <d v="2026-04-09T00:00:00"/>
    <d v="2026-04-09T00:00:00"/>
    <n v="0"/>
    <s v="NO PRAZO"/>
    <m/>
    <m/>
    <m/>
    <x v="2"/>
    <s v="SIM"/>
    <s v="NÃO"/>
  </r>
  <r>
    <x v="3"/>
    <d v="2026-04-13T00:00:00"/>
    <s v="JEFFERSON DE SOUSA ALVES"/>
    <x v="65"/>
    <x v="0"/>
    <s v="GOLPEADO POR (ATINGIDO POR OBJETO EM MOVIMENTO)"/>
    <s v="A equipe realizou o carregamento de um poste no caminhão da placa (RZR6B37) e após retirar a cinta do poste, o motorista acidentalmente acionou a alavanca do giro do munck deslocando o poste lateralmente e derrubando o poste de cima da carroceria atingindo a sapata do munck. O operador realizava o manuseio do munck pelo lado oposto da carga conforme procedimento e os auxiliares já haviam retirado a corda guia, o que livrou de ser atingido pelo poste durante a queda. "/>
    <s v="MIKEIAS VELOSO"/>
    <s v="NÃO"/>
    <s v="BACABAL"/>
    <x v="2"/>
    <s v="LEVE"/>
    <s v="SEM AFASTAMENTO"/>
    <s v="NA"/>
    <d v="2026-04-13T00:00:00"/>
    <d v="2026-04-13T00:00:00"/>
    <n v="0"/>
    <s v="NO PRAZO"/>
    <d v="2026-04-14T00:00:00"/>
    <d v="2026-04-14T00:00:00"/>
    <n v="0"/>
    <s v="NO PRAZO"/>
    <d v="2026-04-14T00:00:00"/>
    <d v="2026-04-14T00:00:00"/>
    <n v="0"/>
    <s v="NO PRAZO"/>
    <d v="2026-04-21T00:00:00"/>
    <d v="2026-04-21T00:00:00"/>
    <n v="0"/>
    <s v="NO PRAZO"/>
    <d v="2026-04-22T00:00:00"/>
    <d v="2026-04-22T00:00:00"/>
    <n v="0"/>
    <s v="NO PRAZO"/>
    <d v="2026-04-23T00:00:00"/>
    <d v="2026-04-23T00:00:00"/>
    <n v="0"/>
    <s v="NO PRAZO"/>
    <d v="2026-04-20T00:00:00"/>
    <d v="2026-04-30T00:00:00"/>
    <m/>
    <x v="4"/>
    <s v="SIM"/>
    <m/>
  </r>
  <r>
    <x v="3"/>
    <d v="2026-04-28T00:00:00"/>
    <s v="JADSON CUNHA CAMPOS"/>
    <x v="66"/>
    <x v="2"/>
    <s v="TRÂNSITO (COLISÃO, DANOS MATERIAIS) "/>
    <s v="equipe estava se deslocando para a proxima atividade quando teve que fazer uma conversão à esquerda na rua graciliano ramos vindo a tocar no para-choque trazeiro de outro veiculo que vinha sentido oposto, causando danos materiais somente no veiculo da equipe."/>
    <s v="ARLISON ROGERIO"/>
    <s v="SIM"/>
    <s v="SANTA LUZIA"/>
    <x v="1"/>
    <s v="LEVE"/>
    <s v="SEM AFASTAMENTO"/>
    <s v="NA"/>
    <d v="2026-04-28T00:00:00"/>
    <d v="2026-04-28T00:00:00"/>
    <n v="0"/>
    <s v="NO PRAZO"/>
    <d v="2026-04-29T00:00:00"/>
    <d v="2026-04-29T00:00:00"/>
    <n v="0"/>
    <s v="NO PRAZO"/>
    <d v="2026-04-29T00:00:00"/>
    <d v="2026-04-29T00:00:00"/>
    <n v="0"/>
    <s v="NO PRAZO"/>
    <d v="2026-05-06T00:00:00"/>
    <d v="2026-05-06T00:00:00"/>
    <n v="0"/>
    <s v="NO PRAZO"/>
    <d v="2026-05-07T00:00:00"/>
    <d v="2026-05-07T00:00:00"/>
    <n v="0"/>
    <s v="NO PRAZO"/>
    <d v="2026-05-08T00:00:00"/>
    <d v="2026-05-08T00:00:00"/>
    <n v="0"/>
    <s v="NO PRAZO"/>
    <m/>
    <m/>
    <m/>
    <x v="2"/>
    <s v="SIM"/>
    <s v="NÃO"/>
  </r>
  <r>
    <x v="3"/>
    <d v="2026-04-29T00:00:00"/>
    <s v="RENAN TEIXEIRA SILVA"/>
    <x v="1"/>
    <x v="0"/>
    <s v="CONTATO COM ELETRICIDADE"/>
    <s v="A equipe de LV estava desativando uma rede, quando uma fase rompeu em uma emenda de cabo dois vãos após o local do ponto onde a equipe trabalhava.. _x000a_Após incidente, o encarregado comunicou ao COI e ao supervisor. Recebendo as devidas orientações de segurança."/>
    <s v="EVERALDO NOGUEIRA"/>
    <s v="NÃO"/>
    <s v="SANTA LUZIA"/>
    <x v="1"/>
    <s v="LEVE"/>
    <s v="SEM AFASTAMENTO"/>
    <s v="NA"/>
    <d v="2026-04-29T00:00:00"/>
    <d v="2026-04-29T00:00:00"/>
    <n v="0"/>
    <s v="NO PRAZO"/>
    <d v="2026-04-30T00:00:00"/>
    <d v="2026-04-30T00:00:00"/>
    <n v="0"/>
    <s v="NO PRAZO"/>
    <d v="2026-04-30T00:00:00"/>
    <d v="2026-04-30T00:00:00"/>
    <n v="0"/>
    <s v="NO PRAZO"/>
    <d v="2026-05-07T00:00:00"/>
    <d v="2026-05-07T00:00:00"/>
    <n v="0"/>
    <s v="NO PRAZO"/>
    <d v="2026-05-08T00:00:00"/>
    <d v="2026-05-08T00:00:00"/>
    <n v="0"/>
    <s v="NO PRAZO"/>
    <d v="2026-05-09T00:00:00"/>
    <d v="2026-05-09T00:00:00"/>
    <n v="0"/>
    <s v="NO PRAZO"/>
    <m/>
    <m/>
    <m/>
    <x v="0"/>
    <s v="SIM"/>
    <m/>
  </r>
  <r>
    <x v="3"/>
    <d v="2026-04-29T00:00:00"/>
    <s v="JORGE DA SILVA COSTA"/>
    <x v="67"/>
    <x v="2"/>
    <s v="TRÂNSITO (COLISÃO, DANOS MATERIAIS) "/>
    <s v="Equipe finalizou uma atividade, estava em deslocamento para o alojamento para o fim do turno, quando em um ponto da MA que liga Goncalves Dias a Governador Eugenio Barros, um veiculo que vinha na direção oposta estava com luz alta, o motorista(Jorge) ficou encadeado e não percebendo os cavalos atravessando a estrada mais a frente, o motorista (Jorge) tentou desviar, fazendo uma manobra mais não conseguiu desviar de todos, batendo em um deles na lateral do lado direito da viatura, e quebrando o farol, retrovisor e o para choque do lado direito, sem lesões nos eletricistas"/>
    <s v="GUILHERME FONSECA"/>
    <s v="SIM"/>
    <s v="GOV. EUGENIO BARROS"/>
    <x v="0"/>
    <s v="LEVE"/>
    <s v="SEM AFASTAMENTO"/>
    <s v="NA"/>
    <d v="2026-04-29T00:00:00"/>
    <d v="2026-04-29T00:00:00"/>
    <n v="0"/>
    <s v="NO PRAZO"/>
    <d v="2026-04-30T00:00:00"/>
    <d v="2026-04-30T00:00:00"/>
    <n v="0"/>
    <s v="NO PRAZO"/>
    <d v="2026-04-30T00:00:00"/>
    <d v="2026-04-30T00:00:00"/>
    <n v="0"/>
    <s v="NO PRAZO"/>
    <d v="2026-05-07T00:00:00"/>
    <d v="2026-05-07T00:00:00"/>
    <n v="0"/>
    <s v="NO PRAZO"/>
    <d v="2026-05-08T00:00:00"/>
    <d v="2026-05-08T00:00:00"/>
    <n v="0"/>
    <s v="NO PRAZO"/>
    <d v="2026-05-09T00:00:00"/>
    <d v="2026-05-09T00:00:00"/>
    <n v="0"/>
    <s v="NO PRAZO"/>
    <m/>
    <m/>
    <m/>
    <x v="2"/>
    <s v="SIM"/>
    <s v="NÃO"/>
  </r>
  <r>
    <x v="3"/>
    <d v="2026-04-29T00:00:00"/>
    <s v="LEONARDO FERREIRA DE OLIVEIRA FILHO"/>
    <x v="68"/>
    <x v="2"/>
    <s v="DANOS A PROPIEDADE"/>
    <s v="Equipe  MA-STI-E002M estava realizando uma Ligação Nova - Reativação, após a montagem do padrão do cliente a equipe posicionou a  escada no poste (de esforço 9/150) e após o teste visual, realizaram o teste de esforço para verificar a resistência da estrutura que não suportou e veio a tombar sobre a varanda de uma residência, causando apenas danos ao telhado."/>
    <s v="ARLISON ROGERIO"/>
    <s v="NÃO"/>
    <s v="BREJO DAS FLORES"/>
    <x v="1"/>
    <s v="LEVE"/>
    <s v="SEM AFASTAMENTO"/>
    <s v="NA"/>
    <d v="2026-04-29T00:00:00"/>
    <d v="2026-04-29T00:00:00"/>
    <n v="0"/>
    <s v="NO PRAZO"/>
    <d v="2026-04-30T00:00:00"/>
    <d v="2026-04-30T00:00:00"/>
    <n v="0"/>
    <s v="NO PRAZO"/>
    <d v="2026-04-30T00:00:00"/>
    <d v="2026-04-30T00:00:00"/>
    <n v="0"/>
    <s v="NO PRAZO"/>
    <d v="2026-05-07T00:00:00"/>
    <d v="2026-05-07T00:00:00"/>
    <n v="0"/>
    <s v="NO PRAZO"/>
    <d v="2026-05-08T00:00:00"/>
    <d v="2026-05-08T00:00:00"/>
    <n v="0"/>
    <s v="NO PRAZO"/>
    <d v="2026-05-09T00:00:00"/>
    <d v="2026-05-09T00:00:00"/>
    <n v="0"/>
    <s v="NO PRAZO"/>
    <m/>
    <m/>
    <m/>
    <x v="4"/>
    <s v="SIM"/>
    <m/>
  </r>
  <r>
    <x v="3"/>
    <d v="2026-04-30T00:00:00"/>
    <s v="FRANCISCO DE ASSIS GOMES FILHO"/>
    <x v="15"/>
    <x v="2"/>
    <s v="TRÂNSITO (COLISÃO, DANOS MATERIAIS) "/>
    <s v="Equipe STI-C002 estava em deslocamento para o intervalo, ao fazer uma conversão à esquerda veio um motociclista conduzindo uma moto de placa PTH-8091 atrás do veiculo da equipe com uma velociade considerável, não teve tempo de reação vindo a chocar-se lateralmente na viatura da equipe causando danos materiais."/>
    <s v="ARLISON ROGERIO"/>
    <s v="NÃO"/>
    <s v="SANTA INÊS"/>
    <x v="1"/>
    <s v="LEVE"/>
    <s v="SEM AFASTAMENTO"/>
    <s v="NA"/>
    <d v="2026-04-30T00:00:00"/>
    <d v="2026-04-30T00:00:00"/>
    <n v="0"/>
    <s v="NO PRAZO"/>
    <d v="2026-05-01T00:00:00"/>
    <d v="2026-05-01T00:00:00"/>
    <n v="0"/>
    <s v="NO PRAZO"/>
    <d v="2026-05-01T00:00:00"/>
    <d v="2026-05-01T00:00:00"/>
    <n v="0"/>
    <s v="NO PRAZO"/>
    <d v="2026-05-08T00:00:00"/>
    <d v="2026-05-08T00:00:00"/>
    <n v="0"/>
    <s v="NO PRAZO"/>
    <d v="2026-05-09T00:00:00"/>
    <m/>
    <n v="-1"/>
    <s v="NO PRAZO"/>
    <d v="2026-05-10T00:00:00"/>
    <d v="2026-05-10T00:00:00"/>
    <n v="0"/>
    <s v="NO PRAZO"/>
    <m/>
    <m/>
    <m/>
    <x v="2"/>
    <s v="SIM"/>
    <s v="NÃO"/>
  </r>
  <r>
    <x v="4"/>
    <d v="2026-05-06T00:00:00"/>
    <s v="WAGNER DE OLIVEIRA MELO"/>
    <x v="69"/>
    <x v="1"/>
    <s v="TRÂNSITO (COLISÃO, DANOS MATERIAIS) "/>
    <s v="A equipe estava em deslocamento na viatura operacional de placa SNS7E49, modelo Strada, quando o veículo de terceiros  modelo Hilux, de placa OLH5I00, não respeitou a placa de sinalização invadiu a preferencial e veio a colidir na lateral direita da viatura da CGB, resultando apenas em danos materiais."/>
    <s v="ANTONIO MARCOS"/>
    <s v="SIM"/>
    <s v="PRESIDENTE DUTRA"/>
    <x v="0"/>
    <s v="LEVE"/>
    <s v="SEM AFASTAMENTO"/>
    <s v="NA"/>
    <d v="2026-05-06T00:00:00"/>
    <d v="2026-05-06T00:00:00"/>
    <n v="0"/>
    <s v="NO PRAZO"/>
    <d v="2026-05-07T00:00:00"/>
    <d v="2026-05-07T00:00:00"/>
    <n v="0"/>
    <s v="NO PRAZO"/>
    <d v="2026-05-07T00:00:00"/>
    <d v="2026-05-07T00:00:00"/>
    <n v="0"/>
    <s v="NO PRAZO"/>
    <d v="2026-05-14T00:00:00"/>
    <d v="2026-05-14T00:00:00"/>
    <n v="-2"/>
    <s v="NO PRAZO"/>
    <d v="2026-05-15T00:00:00"/>
    <d v="2026-05-15T00:00:00"/>
    <n v="0"/>
    <s v="NO PRAZO"/>
    <d v="2026-05-16T00:00:00"/>
    <d v="2026-05-16T00:00:00"/>
    <n v="0"/>
    <s v="NO PRAZO"/>
    <d v="2026-05-07T00:00:00"/>
    <d v="2026-05-16T00:00:00"/>
    <s v="Pendente do relatório assinado com evidencias do plano de ação"/>
    <x v="2"/>
    <s v="SIM"/>
    <s v="NÃO"/>
  </r>
  <r>
    <x v="4"/>
    <d v="2026-05-06T00:00:00"/>
    <s v="LUIS FILIPE CANTANHEDE"/>
    <x v="61"/>
    <x v="1"/>
    <s v="TRÂNSITO (COLISÃO, DANOS MATERIAIS) "/>
    <s v="Após inspeção de campo, o veículo SMP0E61 deslocava-se para a base. Após sinalizar e iniciar a conversão onde logo em seguida atravessaria a BR-316, uma motociclista que transitava em velocidade inadequada  colidiu na lateral do veículo. O condutor terceiro não sofreu ferimentos; tratava-se de um jovem que não apresentou CNH. O responsável pelo motociclista assumirá os prejuízos decorrentes do ocorrido."/>
    <s v="JULIO CESAR"/>
    <s v="SIM"/>
    <s v="BACABAL"/>
    <x v="2"/>
    <s v="LEVE"/>
    <s v="SEM AFASTAMENTO"/>
    <s v="NA"/>
    <d v="2026-05-06T00:00:00"/>
    <d v="2026-05-06T00:00:00"/>
    <n v="0"/>
    <s v="NO PRAZO"/>
    <d v="2026-05-07T00:00:00"/>
    <d v="2026-05-07T00:00:00"/>
    <n v="0"/>
    <s v="NO PRAZO"/>
    <d v="2026-05-07T00:00:00"/>
    <d v="2026-05-07T00:00:00"/>
    <n v="0"/>
    <s v="NO PRAZO"/>
    <d v="2026-05-14T00:00:00"/>
    <d v="2026-05-14T00:00:00"/>
    <n v="-2"/>
    <s v="NO PRAZO"/>
    <d v="2026-05-15T00:00:00"/>
    <d v="2026-05-15T00:00:00"/>
    <n v="0"/>
    <s v="NO PRAZO"/>
    <d v="2026-05-16T00:00:00"/>
    <d v="2026-05-16T00:00:00"/>
    <n v="0"/>
    <s v="NO PRAZO"/>
    <d v="2026-05-07T00:00:00"/>
    <d v="2026-05-16T00:00:00"/>
    <s v="Pendente do relatório assinado com evidencias do plano de ação"/>
    <x v="2"/>
    <s v="SIM"/>
    <s v="NÃO"/>
  </r>
  <r>
    <x v="4"/>
    <d v="2026-05-11T00:00:00"/>
    <s v="DAWISON MONTEIRO SILVA"/>
    <x v="70"/>
    <x v="1"/>
    <s v="TRÂNSITO (COLISÃO, DANOS MATERIAIS) "/>
    <s v="A equipe, ao sair da base conduzindo a viatura operacional de placa SOY0B40, marca Fiat, modelo Strada, realizou uma parada no lado direito da via. Ao retomar o deslocamento e retornar para a pista, o veículo de terceiro, placa SLO2B13, marca Fiat, modelo Strada, colidiu na lateral esquerda da viatura operacional da equipe."/>
    <s v="JULIO CESAR"/>
    <s v="SIM"/>
    <s v="BACABAL"/>
    <x v="2"/>
    <s v="LEVE"/>
    <s v="SEM AFASTAMENTO"/>
    <s v="NA"/>
    <d v="2026-05-11T00:00:00"/>
    <d v="2026-05-11T00:00:00"/>
    <n v="0"/>
    <s v="NO PRAZO"/>
    <d v="2026-05-12T00:00:00"/>
    <d v="2026-05-12T00:00:00"/>
    <n v="0"/>
    <s v="NO PRAZO"/>
    <d v="2026-05-12T00:00:00"/>
    <d v="2026-05-12T00:00:00"/>
    <n v="0"/>
    <s v="NO PRAZO"/>
    <d v="2026-05-19T00:00:00"/>
    <d v="2026-05-19T00:00:00"/>
    <n v="-7"/>
    <s v="NO PRAZO"/>
    <d v="2026-05-20T00:00:00"/>
    <d v="2026-05-20T00:00:00"/>
    <n v="0"/>
    <s v="NO PRAZO"/>
    <d v="2026-05-21T00:00:00"/>
    <d v="2026-05-21T00:00:00"/>
    <n v="0"/>
    <s v="NO PRAZO"/>
    <d v="2026-05-11T00:00:00"/>
    <d v="2026-05-21T00:00:00"/>
    <s v="Pendente do relatório assinado com evidencias do plano de ação"/>
    <x v="2"/>
    <s v="SIM"/>
    <s v="NÃO"/>
  </r>
  <r>
    <x v="4"/>
    <d v="2026-05-25T00:00:00"/>
    <s v="THIAGO HENRIQUE CORDEIRO DE MELO"/>
    <x v="71"/>
    <x v="6"/>
    <s v="QUEDA NO MESMO NÍVEL (ESCORREGÃO E QUEDA, TROPEÇÃO) "/>
    <s v="Por volta das 7h30, o colaborador Thiago Henrique Cordeiro de Mello, auxiliar de frota, ao sair da sala de materiais de uso do setor, local que possui piso elevado em relação ao nível do pátio e não dispõe de degraus de acesso, ao se deslocar para a área externa, acabou pisando em uma escada que se encontrava sobre o piso, vindo a sentir incômodo no tornozelo esquerdo._x000a_O colaborador foi encaminhado para atendimento e avaliação médica, não sendo identificada qualquer fratura e/ou lesão. Após o atendimento, foi liberado para retornar normalmente às suas atividades."/>
    <s v="RUAN VALMIR"/>
    <s v="NÃO"/>
    <s v="PEDREIRAS"/>
    <x v="3"/>
    <s v="LEVE"/>
    <s v="SEM AFASTAMENTO"/>
    <s v="NA"/>
    <d v="2026-05-25T00:00:00"/>
    <d v="2026-05-25T00:00:00"/>
    <n v="0"/>
    <s v="NO PRAZO"/>
    <d v="2026-05-25T00:00:00"/>
    <d v="2026-05-25T00:00:00"/>
    <n v="0"/>
    <s v="NO PRAZO"/>
    <d v="2026-05-25T00:00:00"/>
    <d v="2026-05-25T00:00:00"/>
    <n v="0"/>
    <s v="NO PRAZO"/>
    <d v="2026-06-02T00:00:00"/>
    <m/>
    <n v="-8"/>
    <s v="NO PRAZO"/>
    <d v="2026-06-03T00:00:00"/>
    <m/>
    <n v="-9"/>
    <s v="NO PRAZO"/>
    <d v="2026-06-04T00:00:00"/>
    <m/>
    <n v="-10"/>
    <s v="NO PRAZO"/>
    <m/>
    <m/>
    <m/>
    <x v="4"/>
    <s v="SIM"/>
    <s v="NÃO"/>
  </r>
  <r>
    <x v="4"/>
    <d v="2026-05-26T00:00:00"/>
    <s v="EDGLEYSON MENEZES DE SOUSA"/>
    <x v="72"/>
    <x v="0"/>
    <s v="IMPACTO/PRENSAMENTO POR OBJETO EM MOVIMENTO"/>
    <s v="Por volta das 7h51, os colaboradores Edgleyson Menezes de Sousa e José Ribamar Magalhães realizavam o carregamento de seis cruzetas tipo “L”. Durante a atividade, o colaborador passou a cinta na carga e o operador realizou a elevação do material para a carroceria do caminhão._x000a_Na sequência, o eletricista Edgleyson subiu na carroceria para retirar a cinta das cruzetas. Após a retirada, uma das cruzetas deslizou sobre o piso do caminhão, atingindo a perna direita do colaborador, que ficou prensada entre a cruzeta e o cavalete traseiro do veículo, ocasionando um corte na perna direita.Após o evento o colaborador foi direcionado ao hospital para fazer os primeiros socorros, após o atendimento o colaborador foi liberado sem a necessidade de afastamento."/>
    <s v="RICARDO MALTA"/>
    <s v="NÃO"/>
    <s v="ITAPECURU MIRIM"/>
    <x v="5"/>
    <s v="LEVE"/>
    <s v="SEM AFASTAMENTO"/>
    <s v="NA"/>
    <d v="2026-05-26T00:00:00"/>
    <d v="2026-05-26T00:00:00"/>
    <n v="0"/>
    <s v="NO PRAZO"/>
    <d v="2026-05-26T00:00:00"/>
    <d v="2026-05-26T00:00:00"/>
    <n v="0"/>
    <s v="NO PRAZO"/>
    <d v="2026-05-26T00:00:00"/>
    <d v="2026-05-26T00:00:00"/>
    <n v="0"/>
    <s v="NO PRAZO"/>
    <d v="2026-05-28T00:00:00"/>
    <d v="2026-05-28T00:00:00"/>
    <n v="0"/>
    <s v="NO PRAZO"/>
    <d v="2026-05-29T00:00:00"/>
    <d v="2026-05-29T00:00:00"/>
    <n v="0"/>
    <s v="NO PRAZO"/>
    <d v="2026-05-30T00:00:00"/>
    <d v="2026-05-30T00:00:00"/>
    <n v="0"/>
    <s v="NO PRAZO"/>
    <d v="2026-06-01T00:00:00"/>
    <m/>
    <s v="Pendente do relatório assinado com evidencias do plano de ação"/>
    <x v="4"/>
    <s v="SIM"/>
    <s v="NÃO"/>
  </r>
  <r>
    <x v="5"/>
    <d v="2026-06-03T00:00:00"/>
    <s v="JOSÉ COSMO NOVAES DE SOUSA"/>
    <x v="73"/>
    <x v="0"/>
    <s v="ATAQUE DE ANIMAIS/INSETOS"/>
    <s v="A equipe MA-PDS-P004M estava realizando atividade de poda de árvore na obra MA-2602404FIM1.3.0062. Após o início da execução do serviço, os colaboradores foram surpreendidos por um enxame de marimbondos._x000a_Durante a elaboração da APR (Análise Preliminar de Risco), não foi possível identificar a presença dos insetos, uma vez que eles estavam alojados no interior de um tronco de árvore localizado próximo ao ponto onde a poda estava sendo realizada._x000a_O colaborador envolvido foi prontamente encaminhado para atendimento e avaliação médica em decorrência de picadas de marimbondo. Foi medicado com antialérgico e submetido à aplicação de compressas no local afetado. Após a avaliação o colaborador foi liberado para retornar normalmente às suas atividades."/>
    <s v="JOÃO CLIMACO"/>
    <s v="NÃO"/>
    <s v="NARAJÁ DO SENA"/>
    <x v="3"/>
    <s v="LEVE"/>
    <s v="SEM AFASTAMENTO"/>
    <s v="NA"/>
    <d v="2026-06-03T00:00:00"/>
    <d v="2026-06-03T00:00:00"/>
    <n v="0"/>
    <s v="NO PRAZO"/>
    <d v="2026-06-04T00:00:00"/>
    <d v="2026-06-04T00:00:00"/>
    <n v="0"/>
    <s v="NO PRAZO"/>
    <d v="2026-06-04T00:00:00"/>
    <d v="2026-06-04T00:00:00"/>
    <n v="0"/>
    <s v="NO PRAZO"/>
    <d v="2026-06-11T00:00:00"/>
    <m/>
    <n v="-6"/>
    <s v="NO PRAZO"/>
    <d v="2026-06-12T00:00:00"/>
    <m/>
    <n v="-7"/>
    <s v="NO PRAZO"/>
    <d v="2026-06-13T00:00:00"/>
    <m/>
    <n v="-8"/>
    <s v="NO PRAZO"/>
    <m/>
    <m/>
    <m/>
    <x v="4"/>
    <s v="SIM"/>
    <m/>
  </r>
  <r>
    <x v="5"/>
    <d v="2026-06-08T00:00:00"/>
    <s v="THIAGO RODRIGUES REIS"/>
    <x v="53"/>
    <x v="0"/>
    <s v="TRÂNSITO (COLISÃO, DANOS MATERIAIS) "/>
    <s v="Durante o trajeto, o colaborador foi surpreendido por uma caminhonete (pick-up) que realizou uma ultrapassagem indevida, forçando-o a desviar para fora da pista a fim de evitar uma colisão. Em decorrência da manobra evasiva, o colaborador saiu da via, porém não sofreu lesões aparentes. Terceiro não parou para prestar socorro para o condutor da CGB."/>
    <s v="EDIVAN DE LIMA"/>
    <s v="NÃO"/>
    <s v="SANTA INÊS"/>
    <x v="1"/>
    <s v="LEVE"/>
    <s v="SEM AFASTAMENTO"/>
    <s v="NA"/>
    <d v="2026-06-08T00:00:00"/>
    <d v="2026-06-08T00:00:00"/>
    <n v="0"/>
    <s v="NO PRAZO"/>
    <d v="2026-06-09T00:00:00"/>
    <d v="2026-06-09T00:00:00"/>
    <n v="0"/>
    <s v="NO PRAZO"/>
    <d v="2026-06-09T00:00:00"/>
    <d v="2026-06-09T00:00:00"/>
    <n v="0"/>
    <s v="NO PRAZO"/>
    <d v="2026-06-16T00:00:00"/>
    <m/>
    <n v="-4"/>
    <s v="NO PRAZO"/>
    <d v="2026-06-17T00:00:00"/>
    <m/>
    <n v="-5"/>
    <s v="NO PRAZO"/>
    <d v="2026-06-18T00:00:00"/>
    <m/>
    <n v="-6"/>
    <s v="NO PRAZO"/>
    <m/>
    <m/>
    <s v="Pendente do relatório assinado com evidencias do plano de ação"/>
    <x v="2"/>
    <s v="SIM"/>
    <s v="NÃO"/>
  </r>
  <r>
    <x v="5"/>
    <d v="2026-06-15T00:00:00"/>
    <s v="RENALDO ALBUQUERQUE DA SILVA"/>
    <x v="74"/>
    <x v="2"/>
    <s v="TRÂNSITO (COLISÃO, DANOS MATERIAIS) "/>
    <s v="A equipe deslocou-se para atendimento da Ordem de Serviço nº 1113490632 (Suspensão de Fornecimento). Ao chegar ao local, o condutor da viatura Hilux, placa TEY6B11, estacionou o veículo e, ao abrir a porta do lado do motorista para desembarque, ocorreu a colisão de uma motocicleta Honda Pop, placa ODV-6965, contra a porta da viatura._x000a_Em decorrência do impacto, o motociclista sofreu um corte da perna direita. A equipe prestou imediatamente os primeiros socorros à vítima até a chegada do atendimento adequado._x000a_O motociclista transportava uma criança na parte dianteira da motocicleta, porém ela não sofreu lesões ou qualquer outro dano em decorrência do acidente. Não houve registro de sequelas para os envolvidos."/>
    <s v="GUILHERME FONSECA"/>
    <s v="SIM"/>
    <s v="DOM PEDRO"/>
    <x v="0"/>
    <s v="LEVE"/>
    <s v="SEM AFASTAMENTO"/>
    <s v="NA"/>
    <d v="2026-06-15T00:00:00"/>
    <d v="2026-06-15T00:00:00"/>
    <n v="0"/>
    <s v="NO PRAZO"/>
    <d v="2026-06-16T00:00:00"/>
    <d v="2026-06-16T00:00:00"/>
    <n v="0"/>
    <s v="NO PRAZO"/>
    <d v="2026-06-16T00:00:00"/>
    <d v="2026-06-16T00:00:00"/>
    <n v="0"/>
    <s v="NO PRAZO"/>
    <d v="2026-06-23T00:00:00"/>
    <m/>
    <n v="90"/>
    <s v="ATRASADO"/>
    <d v="2026-06-24T00:00:00"/>
    <m/>
    <n v="89"/>
    <s v="ATRASADO"/>
    <d v="2026-06-25T00:00:00"/>
    <m/>
    <n v="88"/>
    <s v="ATRASADO"/>
    <m/>
    <m/>
    <m/>
    <x v="2"/>
    <s v="SIM"/>
    <s v="NÃO"/>
  </r>
  <r>
    <x v="5"/>
    <d v="2026-06-17T00:00:00"/>
    <s v="EXODO NEDS SOUSA"/>
    <x v="66"/>
    <x v="2"/>
    <s v="CONTATO COM ELETRICIDADE"/>
    <s v="Equipe STL-E001M estava realizando uma manobra de abertura da chave faca quando ao abrir a ultima chave do circuito com o dispositivo DAC acabou tocando na estrutura ocasionando a abertura do arco eletrico "/>
    <s v="ARLISON ROGERIO"/>
    <s v="NÃO"/>
    <s v="SANTA LUZIA"/>
    <x v="1"/>
    <s v="LEVE"/>
    <s v="SEM AFASTAMENTO"/>
    <s v="NA"/>
    <d v="2026-06-17T00:00:00"/>
    <d v="2026-06-17T00:00:00"/>
    <n v="0"/>
    <s v="NO PRAZO"/>
    <d v="2026-06-18T00:00:00"/>
    <d v="2026-06-18T00:00:00"/>
    <n v="0"/>
    <s v="NO PRAZO"/>
    <d v="2026-06-18T00:00:00"/>
    <d v="2026-06-18T00:00:00"/>
    <n v="0"/>
    <s v="NO PRAZO"/>
    <d v="2026-06-25T00:00:00"/>
    <m/>
    <n v="88"/>
    <s v="ATRASADO"/>
    <d v="2026-06-26T00:00:00"/>
    <m/>
    <n v="87"/>
    <s v="ATRASADO"/>
    <d v="2026-06-27T00:00:00"/>
    <m/>
    <n v="86"/>
    <s v="ATRASADO"/>
    <m/>
    <m/>
    <m/>
    <x v="0"/>
    <s v="SIM"/>
    <m/>
  </r>
  <r>
    <x v="6"/>
    <d v="2026-07-03T00:00:00"/>
    <s v="KAUA SOUSA SILVA"/>
    <x v="23"/>
    <x v="4"/>
    <s v="TRÂNSITO (COLISÃO, DANOS MATERIAIS) "/>
    <s v="O colaborador retornava do seu horário de almoço pra a CGB em sua moto particular, quando chocou-se com um caminhão que estava fazendo uma conversão."/>
    <s v="CAMILA CORREA"/>
    <s v="NÃO"/>
    <s v="PRESIDENTE DUTRA"/>
    <x v="0"/>
    <s v="LEVE"/>
    <s v="COM AFASTAMENTO"/>
    <m/>
    <d v="2026-07-03T00:00:00"/>
    <d v="2026-07-03T00:00:00"/>
    <n v="0"/>
    <s v="NO PRAZO"/>
    <d v="2026-07-04T00:00:00"/>
    <d v="2026-07-04T00:00:00"/>
    <n v="0"/>
    <s v="NO PRAZO"/>
    <d v="2026-07-04T00:00:00"/>
    <d v="2026-07-04T00:00:00"/>
    <n v="0"/>
    <s v="NO PRAZO"/>
    <d v="2026-07-11T00:00:00"/>
    <m/>
    <n v="-4"/>
    <s v="NO PRAZO"/>
    <d v="2026-07-12T00:00:00"/>
    <m/>
    <n v="-5"/>
    <s v="NO PRAZO"/>
    <d v="2026-07-13T00:00:00"/>
    <m/>
    <n v="-6"/>
    <s v="NO PRAZO"/>
    <m/>
    <m/>
    <m/>
    <x v="2"/>
    <s v="SIM"/>
    <s v="SIM"/>
  </r>
  <r>
    <x v="6"/>
    <d v="2026-07-13T00:00:00"/>
    <s v="REINALDO SANTANA DE LIMA"/>
    <x v="75"/>
    <x v="2"/>
    <s v="TRÂNSITO (COLISÃO, DANOS MATERIAIS) "/>
    <s v="O fiscal retornava para a base após realizar acompanhamentos de campo junto às equipes. Durante o trajeto, ao se aproximar de uma faixa de pedestres, observou um pedestre sinalizando a intenção de realizar a travessia. Em conformidade com a legislação de trânsito, o fiscal reduziu a velocidade e parou a viatura antes da faixa para permitir a passagem do pedestre."/>
    <s v="RAIMUNDO HERMESSON"/>
    <s v="SIM"/>
    <s v="PEDREIRAS"/>
    <x v="3"/>
    <s v="LEVE"/>
    <s v="SEM AFASTAMENTO"/>
    <s v="NA"/>
    <d v="2026-07-13T00:00:00"/>
    <d v="2026-07-13T00:00:00"/>
    <n v="0"/>
    <s v="NO PRAZO"/>
    <d v="2026-07-14T00:00:00"/>
    <d v="2026-07-14T00:00:00"/>
    <n v="0"/>
    <s v="NO PRAZO"/>
    <d v="2026-07-14T00:00:00"/>
    <d v="2026-07-14T00:00:00"/>
    <n v="0"/>
    <s v="NO PRAZO"/>
    <d v="2026-07-21T00:00:00"/>
    <m/>
    <n v="62"/>
    <s v="ATRASADO"/>
    <d v="2026-07-22T00:00:00"/>
    <m/>
    <n v="61"/>
    <s v="ATRASADO"/>
    <d v="2026-07-23T00:00:00"/>
    <m/>
    <n v="60"/>
    <s v="ATRASADO"/>
    <m/>
    <m/>
    <m/>
    <x v="2"/>
    <s v="SIM"/>
    <s v="NÃO"/>
  </r>
  <r>
    <x v="6"/>
    <d v="2026-07-13T00:00:00"/>
    <s v="RAFAEL LIMA MOTA"/>
    <x v="76"/>
    <x v="0"/>
    <s v="TRÂNSITO (COLISÃO, DANOS MATERIAIS) "/>
    <s v=" A equipe estava retornando à base após a implantação de poste na localidade de Tuntum. Ao chegar à BR-226, em frente à rodoviária da cidade de Tuntum, a roda dianteira do lado do motorista se desprendeu do caminhão. A roda percorreu aproximadamente 50 metros após o desprendimento. Não houve pessoas envolvidas nem registro de lesões."/>
    <s v="RAFAELA MELO"/>
    <s v="NÃO"/>
    <s v="PRESIDENTE DUTRA"/>
    <x v="0"/>
    <s v="LEVE"/>
    <s v="SEM AFASTAMENTO"/>
    <s v="NA"/>
    <d v="2026-07-13T00:00:00"/>
    <d v="2026-07-13T00:00:00"/>
    <n v="0"/>
    <s v="NO PRAZO"/>
    <d v="2026-07-14T00:00:00"/>
    <d v="2026-07-14T00:00:00"/>
    <n v="0"/>
    <s v="NO PRAZO"/>
    <d v="2026-07-14T00:00:00"/>
    <d v="2026-07-14T00:00:00"/>
    <n v="0"/>
    <s v="NO PRAZO"/>
    <d v="2026-07-21T00:00:00"/>
    <m/>
    <n v="62"/>
    <s v="ATRASADO"/>
    <d v="2026-07-22T00:00:00"/>
    <m/>
    <n v="61"/>
    <s v="ATRASADO"/>
    <d v="2026-07-23T00:00:00"/>
    <m/>
    <n v="60"/>
    <s v="ATRASADO"/>
    <m/>
    <m/>
    <m/>
    <x v="2"/>
    <s v="SIM"/>
    <s v="NÃO"/>
  </r>
  <r>
    <x v="6"/>
    <d v="2026-07-14T00:00:00"/>
    <s v="JOÃO ANTONIO DA SILVA"/>
    <x v="47"/>
    <x v="0"/>
    <s v="TRÂNSITO (COLISÃO, DANOS MATERIAIS) "/>
    <s v="Durante o deslocamento para Joselândia, no povoado Palma, o caminhão da CGB e uma caminhonete Chevrolet S10 (placa FUU5B54) realizaram uma ultrapassagem simultaneamente. Ao retornar para a faixa de rolamento, a caminhonete encostou no para-choque dianteiro do caminhão, e a escada transportada no veículo atingiu o retrovisor do caminhão, causando sua quebra. O acidente resultou apenas em danos materiais, sem vítimas ou registro de lesões."/>
    <s v="RAFAELA MELO"/>
    <s v="SIM"/>
    <s v="PRESIDENTE DUTRA"/>
    <x v="0"/>
    <s v="LEVE"/>
    <s v="SEM AFASTAMENTO"/>
    <s v="NA"/>
    <d v="2026-07-14T00:00:00"/>
    <d v="2026-07-14T00:00:00"/>
    <n v="0"/>
    <s v="NO PRAZO"/>
    <d v="2026-07-15T00:00:00"/>
    <d v="2026-07-15T00:00:00"/>
    <n v="0"/>
    <s v="NO PRAZO"/>
    <d v="2026-07-15T00:00:00"/>
    <d v="2026-07-15T00:00:00"/>
    <n v="0"/>
    <s v="NO PRAZO"/>
    <d v="2026-07-22T00:00:00"/>
    <m/>
    <n v="61"/>
    <s v="ATRASADO"/>
    <d v="2026-07-23T00:00:00"/>
    <m/>
    <n v="60"/>
    <s v="ATRASADO"/>
    <d v="2026-07-24T00:00:00"/>
    <m/>
    <n v="59"/>
    <s v="ATRASADO"/>
    <m/>
    <m/>
    <m/>
    <x v="2"/>
    <s v="SIM"/>
    <s v="NÃO"/>
  </r>
  <r>
    <x v="6"/>
    <d v="2026-07-14T00:00:00"/>
    <s v="CLEDEILSON GOMES CAMPOS"/>
    <x v="77"/>
    <x v="0"/>
    <s v="TRÂNSITO (COLISÃO, DANOS MATERIAIS) "/>
    <s v="Durante o estacionamento na garagem por volta das 19:30, o motorista da equipe MA-BDC-O005 foi estacionar o caminhão e não observou o espaço vazio ao lado de outro caminhão. Durante a manobra de macha ré o outro caminhão que estava estacionado atrás ficou em seu ponto cego vindo a ser colidido, ocasionando a quebra do para- brisa e de duas escadas. Todos os danos foram apenas materiais."/>
    <s v="RAFAELA MELO"/>
    <s v="NÃO"/>
    <s v="BARRA DO CORDA"/>
    <x v="4"/>
    <s v="LEVE"/>
    <s v="SEM AFASTAMENTO"/>
    <s v="NA"/>
    <d v="2026-07-14T00:00:00"/>
    <d v="2026-07-14T00:00:00"/>
    <n v="0"/>
    <s v="NO PRAZO"/>
    <d v="2026-07-15T00:00:00"/>
    <d v="2026-07-15T00:00:00"/>
    <n v="0"/>
    <s v="NO PRAZO"/>
    <d v="2026-07-15T00:00:00"/>
    <d v="2026-07-15T00:00:00"/>
    <n v="0"/>
    <s v="NO PRAZO"/>
    <d v="2026-07-22T00:00:00"/>
    <m/>
    <n v="61"/>
    <s v="ATRASADO"/>
    <d v="2026-07-23T00:00:00"/>
    <m/>
    <n v="60"/>
    <s v="ATRASADO"/>
    <d v="2026-07-24T00:00:00"/>
    <m/>
    <n v="59"/>
    <s v="ATRASADO"/>
    <m/>
    <m/>
    <m/>
    <x v="2"/>
    <s v="SIM"/>
    <s v="NÃO"/>
  </r>
  <r>
    <x v="6"/>
    <d v="2026-07-18T00:00:00"/>
    <s v="FILIPE GABRIEL SANTANA"/>
    <x v="5"/>
    <x v="1"/>
    <s v="TRÂNSITO (COLISÃO, DANOS MATERIAIS) "/>
    <s v="O colaborador, após realizar uma visita técnica à UC 36594918 para coleta da assinatura da cliente referente ao serviço de inspeção, deslocava-se do município de Paulo Ramos com destino à base de Bacabal. Durante otrajeto, em um trecho da via em aclive, um motociclista passou a trafegar na contramão de direção. Diante da situação, o colaborador realizou uma manobra para evitar a colisão, ocasião em que o veículo transpôs o acostamento da pista contrária e colidiu contra uma cerca localizada às margens da via."/>
    <s v="JULIO CESAR"/>
    <s v="NÃO"/>
    <s v="LAGO DA PEDRA"/>
    <x v="2"/>
    <s v="LEVE"/>
    <s v="SEM AFASTAMENTO"/>
    <s v="NA"/>
    <d v="2026-07-18T00:00:00"/>
    <d v="2026-07-18T00:00:00"/>
    <n v="0"/>
    <s v="NO PRAZO"/>
    <d v="2026-07-19T00:00:00"/>
    <d v="2026-07-19T00:00:00"/>
    <n v="0"/>
    <s v="NO PRAZO"/>
    <d v="2026-07-19T00:00:00"/>
    <d v="2026-07-19T00:00:00"/>
    <n v="0"/>
    <s v="NO PRAZO"/>
    <d v="2026-07-26T00:00:00"/>
    <m/>
    <n v="57"/>
    <s v="ATRASADO"/>
    <d v="2026-07-27T00:00:00"/>
    <m/>
    <n v="56"/>
    <s v="ATRASADO"/>
    <d v="2026-07-28T00:00:00"/>
    <m/>
    <n v="55"/>
    <s v="ATRASADO"/>
    <m/>
    <m/>
    <m/>
    <x v="2"/>
    <s v="SIM"/>
    <s v="NÃO"/>
  </r>
  <r>
    <x v="6"/>
    <d v="2026-07-18T00:00:00"/>
    <s v="MARCELO SOARES SILVA"/>
    <x v="71"/>
    <x v="6"/>
    <s v="TRÂNSITO (COLISÃO, DANOS MATERIAIS) "/>
    <s v="O veículo BYD envolvido trategava regularmente pela via e atravessou o cruzamento com o semáforo indicando sinal verde a seu favor. Entretanto, um terceiro veículo modelo GWM Haval H9, cor branca, teria desrespeitado a șinalização semafórica, avançando o sinal vermelho da via transversal. Diante daiminência de uma colisão, o envolvido realizou uma frenagem brusca para evitar o impacto. Em razão da redução repentina da velocidade,O condutor do veículo CGB,que seguia logo atras do BYD, não conseguiu frear a tempo,vindo a colidir na traseira. "/>
    <s v="RUAN VALMIR"/>
    <s v="SIM"/>
    <s v="SANTA INÊS"/>
    <x v="1"/>
    <s v="LEVE"/>
    <s v="SEM AFASTAMENTO"/>
    <s v="NA"/>
    <d v="2026-07-18T00:00:00"/>
    <d v="2026-07-18T00:00:00"/>
    <n v="0"/>
    <s v="NO PRAZO"/>
    <d v="2026-07-19T00:00:00"/>
    <d v="2026-07-19T00:00:00"/>
    <n v="0"/>
    <s v="NO PRAZO"/>
    <d v="2026-07-19T00:00:00"/>
    <d v="2026-07-19T00:00:00"/>
    <n v="0"/>
    <s v="NO PRAZO"/>
    <d v="2026-07-26T00:00:00"/>
    <d v="2026-07-26T00:00:00"/>
    <n v="0"/>
    <s v="NO PRAZO"/>
    <d v="2026-07-27T00:00:00"/>
    <m/>
    <n v="56"/>
    <s v="ATRASADO"/>
    <d v="2026-07-28T00:00:00"/>
    <m/>
    <n v="55"/>
    <s v="ATRASADO"/>
    <m/>
    <m/>
    <m/>
    <x v="2"/>
    <s v="SIM"/>
    <s v="NÃO"/>
  </r>
  <r>
    <x v="6"/>
    <d v="2026-07-21T00:00:00"/>
    <s v="LEANDRO ANDRADE"/>
    <x v="38"/>
    <x v="0"/>
    <s v="TRÂNSITO (TRAJETO)"/>
    <s v="O colaborador Leandro Andrade, conduzindo a sua motocicleta Honda Bros (placa NXK6732), sofreu uma colisão com um veículo Gol (placa NHD2509) enquanto retornava do intervalo de almoço. O acidente ocorreu nas proximidades da curva da Sucan, quando o condutor do Gol realizou um retorno em local proibido, atingindo a lateral da motocicleta. O colaborador foi socorrido pelo supervisor João Clímaco, encaminhado ao hospital, recebeu alta e, em seguida, foi conduzido à delegacia para registro do boletim de ocorrência"/>
    <s v="JOÃO CLIMACO"/>
    <s v="NÃO"/>
    <s v="PEDREIRAS"/>
    <x v="3"/>
    <s v="LEVE"/>
    <s v="SEM AFASTAMENTO"/>
    <s v="NA"/>
    <d v="2026-07-21T00:00:00"/>
    <d v="2026-07-21T00:00:00"/>
    <n v="0"/>
    <s v="NO PRAZO"/>
    <d v="2026-07-22T00:00:00"/>
    <d v="2026-07-22T00:00:00"/>
    <n v="0"/>
    <s v="NO PRAZO"/>
    <d v="2026-07-22T00:00:00"/>
    <d v="2026-07-22T00:00:00"/>
    <n v="0"/>
    <s v="NO PRAZO"/>
    <d v="2026-07-29T00:00:00"/>
    <m/>
    <n v="54"/>
    <s v="ATRASADO"/>
    <d v="2026-07-30T00:00:00"/>
    <m/>
    <n v="53"/>
    <s v="ATRASADO"/>
    <d v="2026-07-31T00:00:00"/>
    <m/>
    <n v="52"/>
    <s v="ATRASADO"/>
    <m/>
    <m/>
    <m/>
    <x v="2"/>
    <s v="SIM"/>
    <s v="SIM"/>
  </r>
  <r>
    <x v="6"/>
    <d v="2026-07-23T00:00:00"/>
    <s v="FILIPE BARBOSA SOUZA"/>
    <x v="78"/>
    <x v="0"/>
    <s v="CONTATO COM ELETRICIDADE"/>
    <s v="A equipe V001M iniciou pela manhã a montagem do RP com poste N4 e cruzeta L, em conjunto com equipe de linha morta — atividade interrompida para almoço e retomada após 1h. Por volta das 16h, o encarregado de linha viva solicitou a retirada dos componentes da linha morta para energizar o equipamento; ao fazer a primeira conexão, notou que o conector estava folgado, mas apenas pediu um modelo adequado à liderança, sem desfazer a ligação. Mesmo com pendências, prosseguiu-se com a instalação: ao preparar a alimentação do TP com cabo de comprimento superior ao normal, o colaborador tocou acidentalmente com o cabo na chave já energizada pela fase C, sofrendo descarga elétrica. Ele usava apenas luvas de pano, não as luvas de borracha compatíveis com a classe de tensão."/>
    <s v="EVERALDO NOGUEIRA"/>
    <s v="NÃO"/>
    <s v="MIRANDA DO NORTE"/>
    <x v="5"/>
    <s v="FATAL"/>
    <s v="FATAL"/>
    <s v="NA"/>
    <d v="2026-07-23T00:00:00"/>
    <d v="2026-07-23T00:00:00"/>
    <n v="0"/>
    <s v="NO PRAZO"/>
    <d v="2026-07-24T00:00:00"/>
    <d v="2026-07-24T00:00:00"/>
    <n v="0"/>
    <s v="NO PRAZO"/>
    <d v="2026-07-24T00:00:00"/>
    <d v="2026-07-24T00:00:00"/>
    <n v="0"/>
    <s v="NO PRAZO"/>
    <d v="2026-07-31T00:00:00"/>
    <m/>
    <n v="52"/>
    <s v="ATRASADO"/>
    <d v="2026-08-01T00:00:00"/>
    <m/>
    <n v="51"/>
    <s v="ATRASADO"/>
    <d v="2026-08-02T00:00:00"/>
    <m/>
    <n v="50"/>
    <s v="ATRASADO"/>
    <m/>
    <m/>
    <m/>
    <x v="0"/>
    <s v="SIM"/>
    <m/>
  </r>
  <r>
    <x v="7"/>
    <d v="2026-08-03T00:00:00"/>
    <s v="IVAGNO FRANÇA DE LIRA"/>
    <x v="79"/>
    <x v="2"/>
    <s v="CONTATO COM ELETRICIDADE"/>
    <s v="O Supervisor da GSTC da Base de Pedreiras, Hermesson Vieira, foi comunicado pelo colaborador da EQTL, Reinaldo Vieira, sobre uma ocorrência envolvendo uma rede de baixa tensão (BT) rompida por um caminhão, com cabos energizados ao solo, sendo necessária a mobilização imediata de uma equipe para atendimento da situação.Após receber a informação, o supervisor entrou em contato com a equipe PDS-E001M, composta pelos colaboradores Ivagno e Ricardo. Em seguida, foi realizada uma conferência telefônica entre a equipe, o COI e o colaborador da EQTL, Reinaldo Vieira, para alinhamento da ocorrência. Na sequência, foi aberto o INC 1481349589, autorizando o deslocamento da equipe até o local. No momento do acionamento, a equipe encontrava-se retornando de uma atividade na zona rural de Trizidela do Vale.Ao chegar ao local, a equipe recebeu orientação do líder da EQTL, Ronald, para realizar a abertura de um jump na rede de BT, com o objetivo de energizar parcialmente o circuito e restabelecer o fornecimento para parte dos clientes. A equipe informou que realizaria inicialmente o reconhecimento da área afetada, conforme previsto nos procedimentos operacionais. Entretanto, o líder da EQTL informou que o reconhecimento já havia sido realizado e orientou a equipe a prosseguir diretamente com a execução da atividade"/>
    <s v="HERMESSON VIEIRA"/>
    <s v="NÃO"/>
    <s v="PEDREIRAS"/>
    <x v="3"/>
    <s v="LEVE"/>
    <s v="INCIDENTE"/>
    <s v="NA"/>
    <d v="2026-08-03T00:00:00"/>
    <d v="2026-08-03T00:00:00"/>
    <n v="0"/>
    <s v="NO PRAZO"/>
    <d v="2026-08-04T00:00:00"/>
    <d v="2026-08-04T00:00:00"/>
    <n v="0"/>
    <s v="NO PRAZO"/>
    <d v="2026-08-04T00:00:00"/>
    <d v="2026-08-04T00:00:00"/>
    <n v="0"/>
    <s v="NO PRAZO"/>
    <d v="2026-08-11T00:00:00"/>
    <m/>
    <n v="41"/>
    <s v="ATRASADO"/>
    <d v="2026-08-12T00:00:00"/>
    <m/>
    <n v="40"/>
    <s v="ATRASADO"/>
    <d v="2026-08-13T00:00:00"/>
    <m/>
    <n v="39"/>
    <s v="ATRASADO"/>
    <m/>
    <m/>
    <m/>
    <x v="3"/>
    <s v="SIM"/>
    <m/>
  </r>
  <r>
    <x v="7"/>
    <d v="2026-08-06T00:00:00"/>
    <s v="GERALDO MOREIRA RODRIGUES"/>
    <x v="80"/>
    <x v="0"/>
    <s v="CONTATO COM ELETRICIDADE"/>
    <s v="A atividade programada na SI 172818 (Trizidela do Vale, alimentador MA.PDS.01C2 - finalização de obra com conexões nos PGs 494732 e 494727) exigia, por segurança, o bloqueio prévio do religador automático do alimentador correspondente, evitando religamento automático em caso de saída do sistema durante a execução do serviço em linha viva.Por engano do encarregado responsável, Geraldo Moreira Rodrigues, o pedido de bloqueio foi solicitado utilizando a referência da SI 172809 (alimentador MA.PDS.01C5), que corresponde a outra atividade distinta (travessia de rede entre os PGs 470836/2022673 e 470673/470604). Dessa forma, o bloqueio foi efetivado no alimentador incorreto.Em seguida, a SI 172809 foi encerrada. Como solicitações de trabalho finalizadas não podem ser reabertas no sistema, não foi possível corrigir o pedido pelo canal normal.Diante disso, foi realizada uma reunião entre representantes da CGB, da Equatorial e da equipe do COI para alinhamento e revisão da solicitação."/>
    <s v="RAFAEL PEREIRA DA SILVA"/>
    <s v="NÃO"/>
    <s v="PEDREIRAS"/>
    <x v="3"/>
    <s v="LEVE"/>
    <s v="INCIDENTE"/>
    <s v="NA"/>
    <d v="2026-08-06T00:00:00"/>
    <d v="2026-08-06T00:00:00"/>
    <n v="0"/>
    <s v="NO PRAZO"/>
    <d v="2026-08-07T00:00:00"/>
    <d v="2026-08-07T00:00:00"/>
    <n v="0"/>
    <s v="NO PRAZO"/>
    <d v="2026-08-07T00:00:00"/>
    <d v="2026-08-07T00:00:00"/>
    <n v="0"/>
    <s v="NO PRAZO"/>
    <d v="2026-08-14T00:00:00"/>
    <m/>
    <n v="38"/>
    <s v="ATRASADO"/>
    <d v="2026-08-15T00:00:00"/>
    <m/>
    <n v="37"/>
    <s v="ATRASADO"/>
    <d v="2026-08-16T00:00:00"/>
    <m/>
    <n v="36"/>
    <s v="ATRASADO"/>
    <m/>
    <m/>
    <m/>
    <x v="3"/>
    <s v="SIM"/>
    <m/>
  </r>
  <r>
    <x v="7"/>
    <d v="2026-08-11T00:00:00"/>
    <s v="RAIMUNDO MORAIS ASSUNÇÃO"/>
    <x v="55"/>
    <x v="2"/>
    <s v="TRÂNSITO (COLISÃO, DANOS MATERIAIS) "/>
    <s v="O colaborador Raimundo Morais, conduzindo a sua viatura Hilux (placa NXK6732), sofreu uma colisão com um veículo corsa (HUP6022) enquanto deslocava para uma atividade no povoado calumbi, o acidente ocorreu na saida de PresidenteDutra,  sentido Dom pedro, quando o condutor do corsa realizou um retorno em local proibido, a viatura não estava em distância de seguimento, e veio a colidir na traseira do terceiro, a equipe informou de imediato a liderança, que informou ao setor de segurança e a frota, a guarda municipal foi acionada, para haver a apuração dos fatos, a equipe foi em encaminhada pra base, para colher os relatos, e registrar um B.O"/>
    <s v="GUILHERME FONSECA"/>
    <s v="SIM"/>
    <s v="PRESIDENTE DUTRA"/>
    <x v="0"/>
    <s v="LEVE"/>
    <s v="SEM AFASTAMENTO"/>
    <s v="NA"/>
    <d v="2026-08-11T00:00:00"/>
    <d v="2026-08-11T00:00:00"/>
    <n v="0"/>
    <s v="NO PRAZO"/>
    <d v="2026-08-12T00:00:00"/>
    <d v="2026-08-12T00:00:00"/>
    <n v="0"/>
    <s v="NO PRAZO"/>
    <d v="2026-08-12T00:00:00"/>
    <d v="2026-08-12T00:00:00"/>
    <n v="0"/>
    <s v="NO PRAZO"/>
    <d v="2026-08-19T00:00:00"/>
    <m/>
    <n v="33"/>
    <s v="ATRASADO"/>
    <d v="2026-08-20T00:00:00"/>
    <m/>
    <n v="32"/>
    <s v="ATRASADO"/>
    <d v="2026-08-21T00:00:00"/>
    <m/>
    <n v="31"/>
    <s v="ATRASADO"/>
    <m/>
    <m/>
    <m/>
    <x v="2"/>
    <s v="SIM"/>
    <s v="NÃO"/>
  </r>
  <r>
    <x v="7"/>
    <d v="2026-08-12T00:00:00"/>
    <s v="DALTON VINICIUS RIBERIRO"/>
    <x v="53"/>
    <x v="0"/>
    <s v="TRÂNSITO (COLISÃO, DANOS MATERIAIS) "/>
    <s v="O colaborador Dalton, estava conduzindo a motocicleta BROZ (placa UJO6G99), quando sofreu uma colisão com uma segunda motocicleta POP, enquanto fazia o retorno a base após realizar a atividade de tombamento de obra, o acidente ocorreu no centro de Miranda do Norte, quando o condutor da pop realizou uma travessia na BR sem respeitar o fluxo de veículos, o colaborador vinha com a velocidade permitida no trecho e chegou a bater na traseira da moto. O colaborador informou de imediato a liderança, que informou ao setor de segurança e a frota, o condutor foi encaminhado ao hospital de Miranda, após a liberação fez o retorno para base para colher os relatos."/>
    <s v="CHRISTOPHE DANIEL"/>
    <m/>
    <s v="MIRANDA DO NORTE"/>
    <x v="5"/>
    <s v="LEVE"/>
    <s v="SEM AFASTAMENTO"/>
    <m/>
    <d v="2026-08-12T00:00:00"/>
    <d v="2026-08-12T00:00:00"/>
    <n v="0"/>
    <s v="NO PRAZO"/>
    <d v="2026-08-13T00:00:00"/>
    <d v="2026-08-13T00:00:00"/>
    <n v="0"/>
    <s v="NO PRAZO"/>
    <d v="2026-08-13T00:00:00"/>
    <d v="2026-08-13T00:00:00"/>
    <n v="0"/>
    <s v="NO PRAZO"/>
    <d v="2026-08-20T00:00:00"/>
    <m/>
    <n v="32"/>
    <s v="ATRASADO"/>
    <d v="2026-08-21T00:00:00"/>
    <m/>
    <n v="31"/>
    <s v="ATRASADO"/>
    <d v="2026-08-22T00:00:00"/>
    <m/>
    <n v="30"/>
    <s v="ATRASADO"/>
    <m/>
    <m/>
    <m/>
    <x v="2"/>
    <s v="SIM"/>
    <s v="NÃO"/>
  </r>
  <r>
    <x v="7"/>
    <d v="2026-08-14T00:00:00"/>
    <s v="CLENILTON FERREIRA SAMPAIO"/>
    <x v="81"/>
    <x v="0"/>
    <s v="TRÂNSITO (COLISÃO, DANOS MATERIAIS) "/>
    <s v="Durante o deslocamento de retorno a base a equipe que vinha do povoado Tingidor, ao trafegar pela rua Padre Pocidonio Monteiro em ITAPECURU MIRIM, o malão lateral da carroceria do caminhão veio a abrir quando passava ao lado de um veículo TERA da placa – UKH2G05 que estava estacionado na lateral da via, quando o motorista o percebeu parou de imediato, e foram averiguar a situação e observaram que tinha danificado o paralama do veículo que estava estacionado, paralama traseiro . O encarregado informou de imediato a liderança, que informou ao setor de segurança,  a frota está tratando o veículo danificado._x000a_Informo que só houve danos mateiras no veículo do terceiro."/>
    <s v="CHRISTOPHE DANIEL"/>
    <s v="SIM"/>
    <s v="ITAPECURU MIRIM"/>
    <x v="5"/>
    <s v="LEVE"/>
    <s v="SEM AFASTAMENTO"/>
    <s v="NA"/>
    <d v="2026-08-14T00:00:00"/>
    <d v="2026-08-14T00:00:00"/>
    <n v="0"/>
    <s v="NO PRAZO"/>
    <d v="2026-08-15T00:00:00"/>
    <d v="2026-08-15T00:00:00"/>
    <n v="0"/>
    <s v="NO PRAZO"/>
    <d v="2026-08-15T00:00:00"/>
    <d v="2026-08-15T00:00:00"/>
    <n v="0"/>
    <s v="NO PRAZO"/>
    <d v="2026-08-22T00:00:00"/>
    <m/>
    <n v="30"/>
    <s v="ATRASADO"/>
    <d v="2026-08-23T00:00:00"/>
    <m/>
    <n v="29"/>
    <s v="ATRASADO"/>
    <d v="2026-08-24T00:00:00"/>
    <m/>
    <n v="28"/>
    <s v="ATRASADO"/>
    <m/>
    <m/>
    <m/>
    <x v="2"/>
    <s v="SIM"/>
    <s v="NÃO"/>
  </r>
  <r>
    <x v="8"/>
    <d v="2026-09-03T00:00:00"/>
    <s v="ANTONIO RONILSON LIMA ALMEIDA"/>
    <x v="23"/>
    <x v="3"/>
    <s v="IMPACTO/PRENSAMENTO POR OBJETO EM MOVIMENTO"/>
    <s v="O colaborador Antonio Ronilson, ao operar o MUNCK do cavalo mecânico de placa SNM6D11, sofreu um pensamento no seu dedo indicador .O operador  retirava o braço hidráulico do munck da gaveta com uma das mãos na alavanca de comando e a outra próxima ao cilindro e ao  braço hidráulico. Ao movimentar o braço hidráulico com o objetivo de remover o gancho da trava, um dos dedos do colaborador sofreu prensamento entre o braço hidráulico e o cilindro do munck. O colaborador foi encaminhado ao hospital municipal de Pedreiras, onde  foi constatada a lesão em dois locais do seu dedo indicador da mão direita. "/>
    <s v="CAMILA CORREA"/>
    <s v="NÃO"/>
    <s v="PEDREIRAS"/>
    <x v="3"/>
    <s v="LEVE"/>
    <s v="SEM AFASTAMENTO"/>
    <s v="NA"/>
    <d v="2026-09-03T00:00:00"/>
    <d v="2026-09-03T00:00:00"/>
    <n v="0"/>
    <s v="NO PRAZO"/>
    <d v="2026-09-04T00:00:00"/>
    <d v="2026-09-04T00:00:00"/>
    <n v="0"/>
    <s v="NO PRAZO"/>
    <d v="2026-09-04T00:00:00"/>
    <d v="2026-09-04T00:00:00"/>
    <n v="0"/>
    <s v="NO PRAZO"/>
    <d v="2026-09-11T00:00:00"/>
    <d v="2026-09-11T00:00:00"/>
    <n v="0"/>
    <s v="NO PRAZO"/>
    <d v="2026-09-12T00:00:00"/>
    <d v="2026-09-12T00:00:00"/>
    <n v="0"/>
    <s v="NO PRAZO"/>
    <d v="2026-09-13T00:00:00"/>
    <d v="2026-09-13T00:00:00"/>
    <n v="0"/>
    <s v="NO PRAZO"/>
    <m/>
    <m/>
    <m/>
    <x v="4"/>
    <s v="SIM"/>
    <m/>
  </r>
  <r>
    <x v="8"/>
    <d v="2026-09-10T00:00:00"/>
    <s v="FRANCISCO FLAVIO  REIS GOMES"/>
    <x v="2"/>
    <x v="0"/>
    <s v="CONTATO COM ELETRICIDADE"/>
    <s v="equipe cobriu as fases de um circuito Bifásico, cabo 4 sem alma de aço com 4 coberturas na &quot;fase A&quot; e duas na &quot;fase B&quot;, o podador que estava em altura desceu para organizarem ferramentas e registrarem fotos, momento em que a vegetação tocou na &quot;fase B&quot; ocasionando o rompimento do cabo.Encarregado informou a supervisão e o COI no momento do evento, a equipe própria da Equatorial compareceu ao local para fazer a emenda do cabo."/>
    <s v="WERBETH RODRIGUES"/>
    <s v="NÃO"/>
    <s v="BACABAL"/>
    <x v="2"/>
    <s v="LEVE"/>
    <s v="SEM AFASTAMENTO"/>
    <s v="NA"/>
    <d v="2026-09-10T00:00:00"/>
    <d v="2026-09-10T00:00:00"/>
    <n v="0"/>
    <s v="NO PRAZO"/>
    <d v="2026-09-11T00:00:00"/>
    <d v="2026-09-11T00:00:00"/>
    <n v="0"/>
    <s v="NO PRAZO"/>
    <d v="2026-09-11T00:00:00"/>
    <d v="2026-09-11T00:00:00"/>
    <n v="0"/>
    <s v="NO PRAZO"/>
    <d v="2026-09-18T00:00:00"/>
    <d v="2026-09-18T00:00:00"/>
    <n v="0"/>
    <s v="NO PRAZO"/>
    <d v="2026-09-19T00:00:00"/>
    <d v="2026-09-19T00:00:00"/>
    <n v="0"/>
    <s v="NO PRAZO"/>
    <d v="2026-09-20T00:00:00"/>
    <d v="2026-09-20T00:00:00"/>
    <n v="0"/>
    <s v="NO PRAZO"/>
    <m/>
    <m/>
    <m/>
    <x v="3"/>
    <s v="SIM"/>
    <m/>
  </r>
  <r>
    <x v="8"/>
    <d v="2026-09-12T00:00:00"/>
    <s v="RONIELE LISBOA DE SOUSA"/>
    <x v="82"/>
    <x v="0"/>
    <s v="ATAQUE DE ANIMAIS/INSETOS"/>
    <s v="A equipe MA-PDS-O004M realizava atividade emergencial, referente à ocorrência INC 1481594282. Após o início da execução do serviço, o colaborador identificou a presença de abelhas no interior do poste de fibra ao acessar a estrutura. Diante da situação, interrompeu a execução e utilizou a roupa de proteção para apicultura, conforme orientação e procedimento de segurança aplicável."/>
    <s v="MESSIAS ABREU"/>
    <s v="NÃO"/>
    <s v="LAGO DA PEDRA"/>
    <x v="3"/>
    <s v="LEVE"/>
    <s v="SEM AFASTAMENTO"/>
    <m/>
    <d v="2026-09-12T00:00:00"/>
    <d v="2026-09-12T00:00:00"/>
    <n v="0"/>
    <s v="NO PRAZO"/>
    <d v="2026-09-13T00:00:00"/>
    <d v="2026-09-13T00:00:00"/>
    <n v="0"/>
    <s v="NO PRAZO"/>
    <d v="2026-09-13T00:00:00"/>
    <d v="2026-09-13T00:00:00"/>
    <n v="0"/>
    <s v="NO PRAZO"/>
    <d v="2026-09-20T00:00:00"/>
    <d v="2026-09-20T00:00:00"/>
    <n v="0"/>
    <s v="NO PRAZO"/>
    <d v="2026-09-21T00:00:00"/>
    <d v="2026-09-21T00:00:00"/>
    <n v="0"/>
    <s v="NO PRAZO"/>
    <d v="2026-09-22T00:00:00"/>
    <m/>
    <n v="-1"/>
    <s v="NO PRAZO"/>
    <m/>
    <m/>
    <m/>
    <x v="4"/>
    <s v="SIM"/>
    <m/>
  </r>
  <r>
    <x v="8"/>
    <d v="2026-09-16T00:00:00"/>
    <s v="ANTONIO CORTES SILVA"/>
    <x v="83"/>
    <x v="0"/>
    <s v="QUEDA DE DIFERENÇA DE NIVEL "/>
    <s v="O colaborador subiu ao cesto para executar poda e ao erguer a lança do sky do descanso do cesto a lança veio a se soltar da base da torre vindo a cair no chão. O encarregado comunicou imediatamente o supervisor que acionou no mesmo momento o coordenador operacional e o coordenador de frota. O colaborador que estava no cesto foi encaminhado ao hospital para os devidos atendimentos."/>
    <s v="EVERALDO NOGUEIRA"/>
    <s v="NÃO"/>
    <s v="ITAPECURU MIRIM"/>
    <x v="5"/>
    <s v="LEVE"/>
    <s v="SEM AFASTAMENTO"/>
    <m/>
    <d v="2026-09-16T00:00:00"/>
    <d v="2026-09-16T00:00:00"/>
    <n v="0"/>
    <s v="NO PRAZO"/>
    <d v="2026-09-17T00:00:00"/>
    <d v="2026-09-17T00:00:00"/>
    <n v="0"/>
    <s v="NO PRAZO"/>
    <d v="2026-09-17T00:00:00"/>
    <d v="2026-09-17T00:00:00"/>
    <n v="0"/>
    <s v="NO PRAZO"/>
    <d v="2026-09-24T00:00:00"/>
    <m/>
    <n v="-3"/>
    <s v="NO PRAZO"/>
    <d v="2026-09-25T00:00:00"/>
    <m/>
    <n v="-4"/>
    <s v="NO PRAZO"/>
    <d v="2026-09-26T00:00:00"/>
    <m/>
    <n v="-5"/>
    <s v="NO PRAZO"/>
    <m/>
    <m/>
    <m/>
    <x v="4"/>
    <s v="SIM"/>
    <m/>
  </r>
  <r>
    <x v="8"/>
    <d v="2026-09-18T00:00:00"/>
    <s v="EXODO NEDS SOUSA"/>
    <x v="66"/>
    <x v="2"/>
    <s v="TRÂNSITO (COLISÃO, DANOS MATERIAIS) "/>
    <s v="O colaborador EXODO NEDS SOUSA SOUTA estava dirigindo o carro de placa UHY-9F28 na rua do alojamento, pois teria ido buscar mais material para continuar o atendimento dos serviços, ao chegar na rua a equipe se deslocou para a esquina fazer o contorno com mais segurança, mas antes de chegarem, um motorista com seu carro de placa NHT-5809  que estava estacionado em sua garagem, saiu sem ter a menor visão de quem vinha na rua em sentido contrário do lado do motorista, dificultando ainda mais sua visão, a garagem é de descida e possui vegetação."/>
    <s v="JORDEN CLEISON"/>
    <s v="SIM"/>
    <s v="SANTA LUZIA"/>
    <x v="1"/>
    <s v="LEVE"/>
    <s v="SEM AFASTAMENTO"/>
    <s v="NA"/>
    <d v="2026-09-18T00:00:00"/>
    <d v="2026-09-18T00:00:00"/>
    <n v="0"/>
    <s v="NO PRAZO"/>
    <d v="2026-09-19T00:00:00"/>
    <d v="2026-09-19T00:00:00"/>
    <n v="0"/>
    <s v="NO PRAZO"/>
    <d v="2026-09-19T00:00:00"/>
    <d v="2026-09-19T00:00:00"/>
    <n v="0"/>
    <s v="NO PRAZO"/>
    <d v="2026-09-26T00:00:00"/>
    <m/>
    <n v="-5"/>
    <s v="NO PRAZO"/>
    <d v="2026-09-27T00:00:00"/>
    <m/>
    <n v="-6"/>
    <s v="NO PRAZO"/>
    <d v="2026-09-28T00:00:00"/>
    <m/>
    <n v="-7"/>
    <s v="NO PRAZO"/>
    <m/>
    <m/>
    <m/>
    <x v="2"/>
    <s v="SIM"/>
    <s v="NÃO"/>
  </r>
  <r>
    <x v="8"/>
    <d v="2026-09-18T00:00:00"/>
    <s v="ANTONIO ELIELTON ANDRÉ PEREIRA"/>
    <x v="20"/>
    <x v="0"/>
    <s v="IMPACTO/PRENSAMENTO POR OBJETO EM MOVIMENTO"/>
    <s v="O colaborador subiu na estrutura para instalação de um conector estribo na rede bt , com a ferramenta impact e primeiro prendeu o estribo com a mesma e foi instalar a bala no cartucho ao perceber que a mesma não tinha encaixado foi bater na lateral da mesma com um parafuso ao bater a mesma se deflagrou no cartucho e atingiu o dedo médio da mão esquerda. O mesmo estava de luva de película "/>
    <s v="JOSIEL DE MENESES"/>
    <s v="SIM"/>
    <s v="BARRA DO CORDA"/>
    <x v="4"/>
    <s v="LEVE"/>
    <s v="SEM AFASTAMENTO"/>
    <s v="NA"/>
    <d v="2026-09-18T00:00:00"/>
    <d v="2026-09-18T00:00:00"/>
    <n v="0"/>
    <s v="NO PRAZO"/>
    <d v="2026-09-19T00:00:00"/>
    <d v="2026-09-19T00:00:00"/>
    <n v="0"/>
    <s v="NO PRAZO"/>
    <d v="2026-09-19T00:00:00"/>
    <d v="2026-09-19T00:00:00"/>
    <n v="0"/>
    <s v="NO PRAZO"/>
    <d v="2026-09-26T00:00:00"/>
    <m/>
    <n v="-5"/>
    <s v="NO PRAZO"/>
    <d v="2026-09-27T00:00:00"/>
    <m/>
    <n v="-6"/>
    <s v="NO PRAZO"/>
    <d v="2026-09-28T00:00:00"/>
    <m/>
    <n v="-7"/>
    <s v="NO PRAZO"/>
    <m/>
    <m/>
    <m/>
    <x v="4"/>
    <s v="SIM"/>
    <m/>
  </r>
  <r>
    <x v="8"/>
    <d v="2026-09-19T00:00:00"/>
    <s v="JOSIEL RODRIGUES LIMA"/>
    <x v="84"/>
    <x v="2"/>
    <s v="TRÂNSITO (COLISÃO, DANOS MATERIAIS) "/>
    <s v="A equipe LDP-E001M, durante deslocamento para atendimento do INC 1481653450, com destino ao PV Andrex, localizado no interior do município de Lago do Junco, trafegava pela Av. Antônio Bale, na saída da cidade de Lago da Pedra. Durante o trajeto, a equipe seguia atrás de um motociclista que realizou uma frenagem brusca e inesperada, ocasionando a necessidade de frenagem imediata da viatura para evitar uma colisão. No momento da frenagem da viatura, um segundo motociclista que trafegava logo atrás não conseguiu realizar a parada a tempo e colidiu com a parte traseira da viatura, ocasionando danos materiais, especificamente a quebra da lanterna traseira do lado direito. Após a colisão, foi realizada a verificação da situação, sendo constatado que o motociclista envolvido não sofreu lesões, havendo somente danos materiais."/>
    <s v="HERMESSON VIEIRA"/>
    <s v="SIM"/>
    <s v="LAGO DA PEDRA"/>
    <x v="3"/>
    <s v="LEVE"/>
    <s v="SEM AFASTAMENTO"/>
    <s v="NA"/>
    <d v="2026-09-19T00:00:00"/>
    <d v="2026-09-19T00:00:00"/>
    <n v="0"/>
    <s v="NO PRAZO"/>
    <d v="2026-09-20T00:00:00"/>
    <d v="2026-09-20T00:00:00"/>
    <n v="0"/>
    <s v="NO PRAZO"/>
    <d v="2026-09-20T00:00:00"/>
    <d v="2026-09-20T00:00:00"/>
    <n v="0"/>
    <s v="NO PRAZO"/>
    <d v="2026-09-27T00:00:00"/>
    <m/>
    <n v="-6"/>
    <s v="NO PRAZO"/>
    <d v="2026-09-28T00:00:00"/>
    <m/>
    <n v="-7"/>
    <s v="NO PRAZO"/>
    <d v="2026-09-29T00:00:00"/>
    <m/>
    <n v="-8"/>
    <s v="NO PRAZO"/>
    <m/>
    <m/>
    <m/>
    <x v="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d v="2024-01-01T00:00:00"/>
    <s v="NATANAEL SILVA BALTAZAR"/>
    <x v="0"/>
    <x v="0"/>
    <x v="0"/>
    <s v="A equipe TTM001 deslocava para garagem ao sinalizar com antecedência a intenção da conversão à esqueda para rua trans mil reis quando reduziram a velocidade para entrar na rua uma moto de cor verde veio em alta velocidade sem placa acabou colidindo na porta do lado do condutor da viatura QYV8I69 o condutor que vinha desatento e com sinais de embriaguez acabou colidindo na viatura causando danos um pequeno amasso e riscados na porta o mesmo não caiu da moto e evadiu-se do local antes que a equipe descesse da viatura. "/>
    <s v="BRUNO ALBUQUERQUE"/>
    <s v="PRESIDENTE DUTRA"/>
    <s v="SIM"/>
    <x v="0"/>
    <s v="LEVE"/>
    <s v="SEM AFASTAMENTO"/>
    <d v="2024-01-01T00:00:00"/>
    <d v="2024-01-01T00:00:00"/>
    <n v="0"/>
    <s v="NO PRAZO"/>
    <d v="2024-01-02T00:00:00"/>
    <d v="2024-01-02T00:00:00"/>
    <n v="0"/>
    <s v="NO PRAZO"/>
    <d v="2024-01-06T00:00:00"/>
    <d v="2024-01-06T00:00:00"/>
    <n v="0"/>
    <s v="NO PRAZO"/>
    <d v="2024-01-09T00:00:00"/>
    <d v="2024-01-09T00:00:00"/>
    <n v="0"/>
    <s v="NO PRAZO"/>
    <m/>
  </r>
  <r>
    <x v="0"/>
    <d v="2024-01-08T00:00:00"/>
    <s v="EQUIPE ESP001"/>
    <x v="1"/>
    <x v="0"/>
    <x v="0"/>
    <s v="Equipe após atender uma ocorrência no povoado centro do machado zona rural de são roberto, quando estavam retornando, surgiu uma BROS VERMELHA que vinha em velocidade um pouco acima do limite da via e passou tocando na lateral da viatura do lado esquerdo, pois havia uma plantadeira manual de grãos na motocicleta atravessada de forma irregular (nao houve nenhuma lesao com o condutor da motocicleta) apenas danos materiais na viatura."/>
    <s v="EVERTON SIQUEIRA"/>
    <s v="PEDREIRAS"/>
    <s v="SIM"/>
    <x v="1"/>
    <s v="LEVE"/>
    <s v="SEM AFASTAMENTO"/>
    <d v="2024-01-08T00:00:00"/>
    <d v="2024-01-08T00:00:00"/>
    <n v="0"/>
    <s v="NO PRAZO"/>
    <d v="2024-01-09T00:00:00"/>
    <d v="2024-01-09T00:00:00"/>
    <n v="0"/>
    <s v="NO PRAZO"/>
    <d v="2024-01-13T00:00:00"/>
    <d v="2024-01-13T00:00:00"/>
    <n v="0"/>
    <s v="NO PRAZO"/>
    <d v="2024-01-16T00:00:00"/>
    <d v="2024-01-16T00:00:00"/>
    <n v="0"/>
    <s v="NO PRAZO"/>
    <m/>
  </r>
  <r>
    <x v="0"/>
    <d v="2024-01-19T00:00:00"/>
    <s v="EQUIPE ITM001"/>
    <x v="2"/>
    <x v="0"/>
    <x v="0"/>
    <s v="A equipe estava em deslocamento na BR135 nas proximidades do povoado entroncamento quando o veiculo da frente para não bater em um caminhão que estava a sua frente fez uma frenagem repentina, com o nossa viatura chegou a tocar levemente na traseira do veiculo do terceiro causando um leve dano."/>
    <s v="ARLISON ROGERIO"/>
    <s v="ENTRONCAMENTO"/>
    <s v="SIM"/>
    <x v="2"/>
    <s v="LEVE"/>
    <s v="SEM AFASTAMENTO"/>
    <d v="2024-01-19T00:00:00"/>
    <d v="2024-01-19T00:00:00"/>
    <n v="0"/>
    <s v="NO PRAZO"/>
    <d v="2024-01-20T00:00:00"/>
    <d v="2024-01-20T00:00:00"/>
    <n v="0"/>
    <s v="NO PRAZO"/>
    <d v="2024-01-24T00:00:00"/>
    <d v="2024-01-24T00:00:00"/>
    <n v="0"/>
    <s v="NO PRAZO"/>
    <d v="2024-01-27T00:00:00"/>
    <d v="2024-01-27T00:00:00"/>
    <n v="0"/>
    <s v="NO PRAZO"/>
    <m/>
  </r>
  <r>
    <x v="0"/>
    <d v="2024-01-20T00:00:00"/>
    <s v="EQUIPE FFC001"/>
    <x v="3"/>
    <x v="0"/>
    <x v="0"/>
    <s v="Equipe FFC001 em deslocamento para inspecionar um componente reincidente na MA 272 na cidade de Fernando falcão ao sinalizar com antecedência a intenção da convenção á esquerda para uma estrada vicinal quando reduziram a velocidade uma moto de cor preta sem placa colidiu no pneu dianteiro da viatura que veio a estourar no momento da colisão ocasionando um pequena avaria na  lataria da viatura do lado do condutor, placa RZY2G26. O condutor da motocicleta caiu  e teve ferimentos leve e foi levado ao hospital, em contato com a família tivemos informações que ele está bem."/>
    <s v="BRUNO ALBUQUERQUE"/>
    <s v="FERNANDO FALCÃO"/>
    <s v="SIM"/>
    <x v="0"/>
    <s v="LEVE"/>
    <s v="SEM AFASTAMENTO"/>
    <d v="2024-01-20T00:00:00"/>
    <d v="2024-01-20T00:00:00"/>
    <n v="0"/>
    <s v="NO PRAZO"/>
    <d v="2024-01-21T00:00:00"/>
    <d v="2024-01-21T00:00:00"/>
    <n v="0"/>
    <s v="NO PRAZO"/>
    <d v="2024-01-25T00:00:00"/>
    <d v="2024-01-25T00:00:00"/>
    <n v="0"/>
    <s v="NO PRAZO"/>
    <d v="2024-01-28T00:00:00"/>
    <d v="2024-01-28T00:00:00"/>
    <n v="0"/>
    <s v="NO PRAZO"/>
    <m/>
  </r>
  <r>
    <x v="0"/>
    <d v="2024-01-29T00:00:00"/>
    <s v="ZEDEQUIAS SANTOS LIMA"/>
    <x v="4"/>
    <x v="1"/>
    <x v="1"/>
    <s v="O motoristas  Zedequias Santos Lima ao retirar o caminhão da  base  colediu o porta escada no portão automático, porque o agente de portaria não abriu o portão por completo."/>
    <s v="MIKEIAS VELOSO"/>
    <s v="SANTA INÊS"/>
    <s v="NÃO"/>
    <x v="3"/>
    <s v="LEVE"/>
    <s v="SEM AFASTAMENTO"/>
    <d v="2024-01-29T00:00:00"/>
    <d v="2024-01-29T00:00:00"/>
    <n v="0"/>
    <s v="NO PRAZO"/>
    <d v="2024-01-30T00:00:00"/>
    <d v="2024-01-30T00:00:00"/>
    <n v="0"/>
    <s v="NO PRAZO"/>
    <d v="2024-02-03T00:00:00"/>
    <d v="2024-02-03T00:00:00"/>
    <n v="0"/>
    <s v="NO PRAZO"/>
    <d v="2024-02-06T00:00:00"/>
    <d v="2024-02-06T00:00:00"/>
    <n v="0"/>
    <s v="NO PRAZO"/>
    <m/>
  </r>
  <r>
    <x v="1"/>
    <d v="2024-02-01T00:00:00"/>
    <s v="EQUIPE PDT810"/>
    <x v="5"/>
    <x v="2"/>
    <x v="2"/>
    <s v="ao passa por uma vala a viatura não conseguiu fazer a travessia por completo. obrigando o condutor da viatura a dar uma ré, ao movimenta a viatura acabou colidindo em outro veículo de placa: LVW-4651,"/>
    <s v="ANTONIO MARCOS"/>
    <s v="PRESIDENTE DUTRA"/>
    <s v="SIM"/>
    <x v="0"/>
    <s v="LEVE"/>
    <s v="SEM AFASTAMENTO"/>
    <d v="2024-02-01T00:00:00"/>
    <d v="2024-02-01T00:00:00"/>
    <n v="0"/>
    <s v="NO PRAZO"/>
    <d v="2024-02-02T00:00:00"/>
    <d v="2024-02-02T00:00:00"/>
    <n v="0"/>
    <s v="NO PRAZO"/>
    <d v="2024-02-06T00:00:00"/>
    <d v="2024-02-06T00:00:00"/>
    <n v="0"/>
    <s v="NO PRAZO"/>
    <d v="2024-02-09T00:00:00"/>
    <d v="2024-02-09T00:00:00"/>
    <n v="0"/>
    <s v="NO PRAZO"/>
    <m/>
  </r>
  <r>
    <x v="1"/>
    <d v="2024-02-05T00:00:00"/>
    <s v="EQUIPE STI552"/>
    <x v="6"/>
    <x v="1"/>
    <x v="3"/>
    <s v="quipe STI552 estava fazendo a inspeção do caminhão (PEC8413), quando foram testar o comando da torre, o colaborador movimentou equivocadamente a alavanca de basculamento do cesto aéreo, assim o cesto aéreo inclinou para um ângulo de 45 graus com o outro colaborador"/>
    <s v="WERBERTH RODRIGUES"/>
    <s v="SANTA INÊS"/>
    <s v="NÃO"/>
    <x v="3"/>
    <s v="LEVE"/>
    <s v="SEM AFASTAMENTO"/>
    <d v="2024-02-05T00:00:00"/>
    <d v="2024-02-05T00:00:00"/>
    <n v="0"/>
    <s v="NO PRAZO"/>
    <d v="2024-02-06T00:00:00"/>
    <d v="2024-02-06T00:00:00"/>
    <n v="0"/>
    <s v="NO PRAZO"/>
    <d v="2024-02-10T00:00:00"/>
    <d v="2024-02-10T00:00:00"/>
    <n v="0"/>
    <s v="NO PRAZO"/>
    <d v="2024-02-13T00:00:00"/>
    <d v="2024-02-13T00:00:00"/>
    <n v="0"/>
    <s v="NO PRAZO"/>
    <m/>
  </r>
  <r>
    <x v="1"/>
    <d v="2024-02-08T00:00:00"/>
    <s v="EQUIPE PDT016"/>
    <x v="7"/>
    <x v="0"/>
    <x v="0"/>
    <s v="ao chegar no local da atividade perceberam que a cavadeira e a alavanca estavam soltas ( Desamarrada ) quando foram manusear as ferramentas para fazer a devida amarração a alavanca tocou acidentalmente no pára-brisa traseiro da viatura RZY0H65 vindo a quebrar"/>
    <s v="BRUNO ALBUQUERQUE"/>
    <s v="PDT"/>
    <s v="NÃO"/>
    <x v="0"/>
    <s v="LEVE"/>
    <s v="SEM AFASTAMENTO"/>
    <d v="2024-02-08T00:00:00"/>
    <d v="2024-02-08T00:00:00"/>
    <n v="0"/>
    <s v="NO PRAZO"/>
    <d v="2024-02-09T00:00:00"/>
    <d v="2024-02-09T00:00:00"/>
    <n v="0"/>
    <s v="NO PRAZO"/>
    <d v="2024-02-13T00:00:00"/>
    <d v="2024-02-13T00:00:00"/>
    <n v="0"/>
    <s v="NO PRAZO"/>
    <d v="2024-02-16T00:00:00"/>
    <d v="2024-02-16T00:00:00"/>
    <n v="0"/>
    <s v="NO PRAZO"/>
    <m/>
  </r>
  <r>
    <x v="1"/>
    <d v="2024-02-13T00:00:00"/>
    <s v="EQUIPE PDT802"/>
    <x v="8"/>
    <x v="2"/>
    <x v="0"/>
    <s v=" Ao entrar na rua, a equipe identificou que a rua era estreita e havia um caminhão estacionado. Após a identificação dos obstáculos, a equipe resolveu seguir o trajeto, onde acabou colidindo na lateral do caminhão. Não houve vítimas, somente danos materiais."/>
    <s v="ANTONIO MARCOS"/>
    <s v="DOM PEDRO"/>
    <s v="SIM"/>
    <x v="0"/>
    <s v="LEVE"/>
    <s v="SEM AFASTAMENTO"/>
    <d v="2024-02-13T00:00:00"/>
    <d v="2024-02-13T00:00:00"/>
    <n v="0"/>
    <s v="NO PRAZO"/>
    <d v="2024-02-14T00:00:00"/>
    <d v="2024-02-14T00:00:00"/>
    <n v="0"/>
    <s v="NO PRAZO"/>
    <d v="2024-02-18T00:00:00"/>
    <d v="2024-02-18T00:00:00"/>
    <n v="0"/>
    <s v="NO PRAZO"/>
    <d v="2024-02-21T00:00:00"/>
    <d v="2024-02-21T00:00:00"/>
    <n v="0"/>
    <s v="NO PRAZO"/>
    <m/>
  </r>
  <r>
    <x v="1"/>
    <d v="2024-02-21T00:00:00"/>
    <s v="EQUIPE BCB805 E PDS807"/>
    <x v="9"/>
    <x v="2"/>
    <x v="0"/>
    <s v="A equipe se deslocavam para zona rural de Lagoa Grande para regularização de clandestinos quando colidiu com a traseira de outra equipe que trafegava na parte da frente."/>
    <s v="ANTONIO MARCOS"/>
    <s v="LAGOA GRANDE"/>
    <s v="NÃO"/>
    <x v="1"/>
    <s v="LEVE"/>
    <s v="SEM AFASTAMENTO"/>
    <d v="2024-02-21T00:00:00"/>
    <d v="2024-02-21T00:00:00"/>
    <n v="0"/>
    <s v="NO PRAZO"/>
    <d v="2024-02-22T00:00:00"/>
    <d v="2024-02-22T00:00:00"/>
    <n v="0"/>
    <s v="NO PRAZO"/>
    <d v="2024-02-26T00:00:00"/>
    <d v="2024-02-26T00:00:00"/>
    <n v="0"/>
    <s v="NO PRAZO"/>
    <d v="2024-02-29T00:00:00"/>
    <d v="2024-02-29T00:00:00"/>
    <n v="0"/>
    <s v="NO PRAZO"/>
    <m/>
  </r>
  <r>
    <x v="1"/>
    <d v="2024-02-14T00:00:00"/>
    <s v="EQUIPE PDT550"/>
    <x v="10"/>
    <x v="1"/>
    <x v="0"/>
    <s v="Estava podando uma árvore que havia sobre uma rede de bt, ao efetuar corte de um galho, em sua queda, bateu em outro galho abaixo que mudou a direção do trajeto de queda e ao tocar as pontas no chão o tronco mais grosso veio sentido ao vidro da cabine auxiliar, ocasionando a quebra do vidro."/>
    <s v="EVERALDO NOGUEIRA"/>
    <s v="BARRA DO CORDA"/>
    <s v="NÃO"/>
    <x v="0"/>
    <s v="LEVE"/>
    <s v="SEM AFASTAMENTO"/>
    <d v="2024-02-14T00:00:00"/>
    <d v="2024-02-14T00:00:00"/>
    <n v="0"/>
    <s v="NO PRAZO"/>
    <d v="2024-02-15T00:00:00"/>
    <d v="2024-02-15T00:00:00"/>
    <n v="0"/>
    <s v="NO PRAZO"/>
    <d v="2024-02-19T00:00:00"/>
    <d v="2024-02-19T00:00:00"/>
    <n v="0"/>
    <s v="NO PRAZO"/>
    <d v="2024-02-22T00:00:00"/>
    <d v="2024-02-22T00:00:00"/>
    <n v="0"/>
    <s v="NO PRAZO"/>
    <m/>
  </r>
  <r>
    <x v="2"/>
    <d v="2024-03-11T00:00:00"/>
    <s v="EQUIPE PLR001"/>
    <x v="11"/>
    <x v="0"/>
    <x v="0"/>
    <s v="Veiculo estava estacionado em desconformidade com o CBT e foi atingido por um caminhão tipo prancha que transportava uma máquina"/>
    <s v="EVERTON SIQUEIRA"/>
    <s v="PAULO RAMOS"/>
    <s v="SIM"/>
    <x v="1"/>
    <s v="LEVE"/>
    <s v="SEM AFASTAMENTO"/>
    <d v="2024-03-11T00:00:00"/>
    <d v="2024-03-11T00:00:00"/>
    <n v="0"/>
    <s v="NO PRAZO"/>
    <d v="2024-03-12T00:00:00"/>
    <d v="2024-03-12T00:00:00"/>
    <n v="0"/>
    <s v="NO PRAZO"/>
    <d v="2024-03-16T00:00:00"/>
    <d v="2024-03-16T00:00:00"/>
    <n v="0"/>
    <s v="NO PRAZO"/>
    <d v="2024-03-19T00:00:00"/>
    <d v="2024-03-19T00:00:00"/>
    <n v="0"/>
    <s v="NO PRAZO"/>
    <m/>
  </r>
  <r>
    <x v="2"/>
    <d v="2024-03-12T00:00:00"/>
    <s v="JHONATAN"/>
    <x v="12"/>
    <x v="3"/>
    <x v="0"/>
    <s v="Durante viagem a PDT ao frear por causa de um cachorro teve a viatura colidida por trás por uma motocicleta"/>
    <s v="PRYSCILLA OLIVEIRA"/>
    <s v="PRESIDENTE DUTRA"/>
    <s v="SIM"/>
    <x v="4"/>
    <s v="LEVE"/>
    <s v="SEM AFASTAMENTO"/>
    <d v="2024-03-12T00:00:00"/>
    <d v="2024-03-12T00:00:00"/>
    <n v="0"/>
    <s v="NO PRAZO"/>
    <d v="2024-03-13T00:00:00"/>
    <d v="2024-03-13T00:00:00"/>
    <n v="0"/>
    <s v="NO PRAZO"/>
    <d v="2024-03-17T00:00:00"/>
    <d v="2024-03-17T00:00:00"/>
    <n v="0"/>
    <s v="NO PRAZO"/>
    <d v="2024-03-20T00:00:00"/>
    <d v="2024-03-20T00:00:00"/>
    <n v="0"/>
    <s v="NO PRAZO"/>
    <m/>
  </r>
  <r>
    <x v="2"/>
    <d v="2024-03-13T00:00:00"/>
    <s v="EQUIPE STI014"/>
    <x v="13"/>
    <x v="4"/>
    <x v="0"/>
    <s v="Equipe se deslocava para a cidade de Bom Jardim quando foi colidida na traseira por veiculo de terceiro placa RZL4E18"/>
    <s v="JOSÉ LUCAS"/>
    <s v="BOM JARDIM"/>
    <s v="SIM"/>
    <x v="3"/>
    <s v="LEVE"/>
    <s v="SEM AFASTAMENTO"/>
    <d v="2024-03-13T00:00:00"/>
    <d v="2024-03-13T00:00:00"/>
    <n v="0"/>
    <s v="NO PRAZO"/>
    <d v="2024-03-14T00:00:00"/>
    <d v="2024-03-14T00:00:00"/>
    <n v="0"/>
    <s v="NO PRAZO"/>
    <d v="2024-03-18T00:00:00"/>
    <d v="2024-03-18T00:00:00"/>
    <n v="0"/>
    <s v="NO PRAZO"/>
    <d v="2024-03-21T00:00:00"/>
    <d v="2024-03-21T00:00:00"/>
    <n v="0"/>
    <s v="NO PRAZO"/>
    <m/>
  </r>
  <r>
    <x v="2"/>
    <d v="2024-03-17T00:00:00"/>
    <s v="EQUIPE PDT002"/>
    <x v="14"/>
    <x v="0"/>
    <x v="0"/>
    <s v="Veiculo da CGB avançou a preferencial em uma rotatória atingindo a motocicleta pilotada por condutora não habilitada causando uma pequena lesão na perna direita da vítima"/>
    <s v="BRUNO ALBUQUERQUE"/>
    <s v="PRESIDENTE DUTRA"/>
    <s v="SIM"/>
    <x v="0"/>
    <s v="LEVE"/>
    <s v="SEM AFASTAMENTO"/>
    <d v="2024-03-17T00:00:00"/>
    <d v="2024-03-17T00:00:00"/>
    <n v="0"/>
    <s v="NO PRAZO"/>
    <d v="2024-03-18T00:00:00"/>
    <d v="2024-03-18T00:00:00"/>
    <n v="0"/>
    <s v="NO PRAZO"/>
    <d v="2024-03-22T00:00:00"/>
    <d v="2024-03-22T00:00:00"/>
    <n v="0"/>
    <s v="NO PRAZO"/>
    <d v="2024-03-25T00:00:00"/>
    <d v="2024-03-25T00:00:00"/>
    <n v="0"/>
    <s v="NO PRAZO"/>
    <m/>
  </r>
  <r>
    <x v="2"/>
    <d v="2024-03-14T00:00:00"/>
    <s v="WERBETH RODRIGUES"/>
    <x v="15"/>
    <x v="1"/>
    <x v="4"/>
    <s v="Suprvisor foi verificar o estaiamento do vegetal, o corte e a inclinação da árvore, ao passar ao lado do estai a corda que estava tracionando o vegetal rompeu vindo a chicotear"/>
    <s v="WERBETH RODRIGUES"/>
    <s v="BACABAL"/>
    <s v="NÃO"/>
    <x v="4"/>
    <s v="LEVE"/>
    <s v="SEM AFASTAMENTO"/>
    <d v="2024-03-14T00:00:00"/>
    <d v="2024-03-14T00:00:00"/>
    <n v="0"/>
    <s v="NO PRAZO"/>
    <d v="2024-03-15T00:00:00"/>
    <d v="2024-03-15T00:00:00"/>
    <n v="0"/>
    <s v="NO PRAZO"/>
    <d v="2024-03-19T00:00:00"/>
    <d v="2024-03-19T00:00:00"/>
    <n v="0"/>
    <s v="NO PRAZO"/>
    <d v="2024-03-22T00:00:00"/>
    <d v="2024-03-22T00:00:00"/>
    <n v="0"/>
    <s v="NO PRAZO"/>
    <m/>
  </r>
  <r>
    <x v="2"/>
    <d v="2024-03-26T00:00:00"/>
    <s v="RONALDO SAMPAIO"/>
    <x v="16"/>
    <x v="1"/>
    <x v="5"/>
    <s v="Lança parou sobre a derivação, bomba não funcionou"/>
    <s v="EVERALDO NOGUEIRA"/>
    <s v="PRESIDENTE DUTRA"/>
    <s v="NÃO"/>
    <x v="0"/>
    <s v="LEVE"/>
    <s v="SEM AFASTAMENTO"/>
    <d v="2024-03-26T00:00:00"/>
    <d v="2024-03-26T00:00:00"/>
    <n v="0"/>
    <s v="NO PRAZO"/>
    <d v="2024-03-27T00:00:00"/>
    <d v="2024-03-27T00:00:00"/>
    <n v="0"/>
    <s v="NO PRAZO"/>
    <d v="2024-03-31T00:00:00"/>
    <d v="2024-03-31T00:00:00"/>
    <n v="0"/>
    <s v="NO PRAZO"/>
    <d v="2024-04-03T00:00:00"/>
    <d v="2024-04-03T00:00:00"/>
    <n v="0"/>
    <s v="NO PRAZO"/>
    <m/>
  </r>
  <r>
    <x v="2"/>
    <d v="2024-03-28T00:00:00"/>
    <s v="MR010"/>
    <x v="17"/>
    <x v="0"/>
    <x v="6"/>
    <s v="Colisão na lateral do veiculo"/>
    <s v="ARLISON ROGERIO"/>
    <s v="MIRANDA DO NORTE"/>
    <s v="NÃO"/>
    <x v="2"/>
    <s v="LEVE"/>
    <s v="SEM AFASTAMENTO"/>
    <d v="2024-03-28T00:00:00"/>
    <d v="2024-03-28T00:00:00"/>
    <n v="0"/>
    <s v="NO PRAZO"/>
    <d v="2024-03-29T00:00:00"/>
    <d v="2024-03-29T00:00:00"/>
    <n v="0"/>
    <s v="NO PRAZO"/>
    <d v="2024-04-02T00:00:00"/>
    <d v="2024-04-02T00:00:00"/>
    <n v="0"/>
    <s v="NO PRAZO"/>
    <d v="2024-04-05T00:00:00"/>
    <d v="2024-04-05T00:00:00"/>
    <n v="0"/>
    <s v="NO PRAZO"/>
    <m/>
  </r>
  <r>
    <x v="2"/>
    <d v="2024-03-31T00:00:00"/>
    <s v="SUSANILSON LEITE DE SOUSA"/>
    <x v="18"/>
    <x v="1"/>
    <x v="6"/>
    <s v="Colisão na lateral do veiculo, danos no retrovisor"/>
    <s v="MESSIAS ABREU"/>
    <s v="TRIZIDELA DO VALE"/>
    <s v="SIM"/>
    <x v="1"/>
    <s v="LEVE"/>
    <s v="SEM AFASTAMENTO"/>
    <d v="2024-03-31T00:00:00"/>
    <d v="2024-03-31T00:00:00"/>
    <n v="0"/>
    <s v="NO PRAZO"/>
    <d v="2024-04-01T00:00:00"/>
    <d v="2024-04-01T00:00:00"/>
    <n v="0"/>
    <s v="NO PRAZO"/>
    <d v="2024-04-05T00:00:00"/>
    <d v="2024-04-05T00:00:00"/>
    <n v="0"/>
    <s v="NO PRAZO"/>
    <d v="2024-04-08T00:00:00"/>
    <d v="2024-04-08T00:00:00"/>
    <n v="0"/>
    <s v="NO PRAZO"/>
    <m/>
  </r>
  <r>
    <x v="3"/>
    <d v="2024-04-01T00:00:00"/>
    <s v="Rodrigo"/>
    <x v="19"/>
    <x v="1"/>
    <x v="6"/>
    <s v="Manobrando veiculo acabou colidindo no veiculo a frente"/>
    <s v="HUGO PORTELA"/>
    <s v="PRESIDENTE DUTRA"/>
    <s v="NÃO"/>
    <x v="0"/>
    <s v="LEVE"/>
    <s v="SEM AFASTAMENTO"/>
    <d v="2024-04-01T00:00:00"/>
    <d v="2024-04-01T00:00:00"/>
    <n v="0"/>
    <s v="NO PRAZO"/>
    <d v="2024-04-02T00:00:00"/>
    <d v="2024-04-02T00:00:00"/>
    <n v="0"/>
    <s v="NO PRAZO"/>
    <d v="2024-04-06T00:00:00"/>
    <d v="2024-04-06T00:00:00"/>
    <n v="0"/>
    <s v="NO PRAZO"/>
    <d v="2024-04-09T00:00:00"/>
    <d v="2024-04-09T00:00:00"/>
    <n v="0"/>
    <s v="NO PRAZO"/>
    <m/>
  </r>
  <r>
    <x v="3"/>
    <d v="2024-04-03T00:00:00"/>
    <s v="CTD002"/>
    <x v="20"/>
    <x v="0"/>
    <x v="6"/>
    <s v="Batida na traseira de uma motocicleta de terceiro"/>
    <s v="ARLISON ROGERIO"/>
    <s v="SÃO DOMINGOS"/>
    <s v="SIM"/>
    <x v="2"/>
    <s v="LEVE"/>
    <s v="SEM AFASTAMENTO"/>
    <d v="2024-04-03T00:00:00"/>
    <d v="2024-04-03T00:00:00"/>
    <n v="0"/>
    <s v="NO PRAZO"/>
    <d v="2024-04-04T00:00:00"/>
    <d v="2024-04-04T00:00:00"/>
    <n v="0"/>
    <s v="NO PRAZO"/>
    <d v="2024-04-08T00:00:00"/>
    <d v="2024-04-08T00:00:00"/>
    <n v="0"/>
    <s v="NO PRAZO"/>
    <d v="2024-04-11T00:00:00"/>
    <d v="2024-04-11T00:00:00"/>
    <n v="0"/>
    <s v="NO PRAZO"/>
    <m/>
  </r>
  <r>
    <x v="3"/>
    <d v="2024-04-05T00:00:00"/>
    <s v="EQUIPE PDT016"/>
    <x v="7"/>
    <x v="0"/>
    <x v="6"/>
    <s v="A equipe PDT016 executava a nota 1087658260 LN quando deslocavam para coletar as informações do trafo da área, percebeu que tinha passado direto e ao realizar uma manobra de ré não se atentou na frente da viatura e colidiu com um motociclista na rua lagoa grande no bairro STA Maria. Vindo a derrubar o motociclista que teve uma leva escoriação no punho. _x000a_Colaborador prestou socorro ao envolvido."/>
    <s v="BRUNO ALBUQUERQUE"/>
    <s v="PRESIDENTE DUTRA"/>
    <s v="SIM"/>
    <x v="0"/>
    <s v="LEVE"/>
    <s v="SEM AFASTAMENTO"/>
    <d v="2024-04-05T00:00:00"/>
    <d v="2024-04-05T00:00:00"/>
    <n v="0"/>
    <s v="NO PRAZO"/>
    <d v="2024-04-06T00:00:00"/>
    <d v="2024-04-06T00:00:00"/>
    <n v="0"/>
    <s v="NO PRAZO"/>
    <d v="2024-04-10T00:00:00"/>
    <d v="2024-04-10T00:00:00"/>
    <n v="0"/>
    <s v="NO PRAZO"/>
    <d v="2024-04-13T00:00:00"/>
    <m/>
    <n v="891"/>
    <s v="ATRASADO"/>
    <m/>
  </r>
  <r>
    <x v="3"/>
    <d v="2024-04-23T00:00:00"/>
    <s v="WANDSON DOS SANTOS ALMEIDA"/>
    <x v="21"/>
    <x v="1"/>
    <x v="7"/>
    <s v="Caborador vinha se queixando de dores nas costas e ao se abaixar para pegar um bloco de concreto, acabou dando mal jeito nas  costas._x000a_Ações Imediatas: _x000a_Caborador vinha se queixando de dores nas costas e ao se abaixar para pegar um bloco de concreto, acabou dando mal jeito nas  costas."/>
    <s v="EDUASRDO POMBO"/>
    <s v="PRESIDENTE DUTRA"/>
    <s v="NÃO"/>
    <x v="0"/>
    <s v="LEVE"/>
    <s v="SEM AFASTAMENTO"/>
    <d v="2024-04-23T00:00:00"/>
    <d v="2024-04-23T00:00:00"/>
    <n v="0"/>
    <s v="NO PRAZO"/>
    <d v="2024-04-24T00:00:00"/>
    <m/>
    <n v="880"/>
    <s v="ATRASADO"/>
    <d v="2024-04-28T00:00:00"/>
    <m/>
    <n v="876"/>
    <s v="ATRASADO"/>
    <d v="2024-05-01T00:00:00"/>
    <m/>
    <n v="873"/>
    <s v="ATRASADO"/>
    <m/>
  </r>
  <r>
    <x v="3"/>
    <d v="2024-04-30T00:00:00"/>
    <s v="JOAO PAULO DA SILVA GARCIA"/>
    <x v="22"/>
    <x v="5"/>
    <x v="8"/>
    <s v="Colaborador estava em deslocamento para sua residência no intervalo de almoço pilotando a sua motocicleta (própria), quando o condutor de um Fiat Strada que estava no acostamento na lateral da via, acelerou o veículo para fazer uma conversão à esquerda sem sinalizar. O colaborador não conseguiu reduzir a velocidade à tempo e chocou-se contra a lateral do veículo."/>
    <s v="JACKSON"/>
    <s v="BACABAL"/>
    <s v="SIM"/>
    <x v="4"/>
    <s v="LEVE"/>
    <s v="SEM AFASTAMENTO"/>
    <d v="2024-04-30T00:00:00"/>
    <d v="2024-04-30T00:00:00"/>
    <n v="0"/>
    <s v="NO PRAZO"/>
    <d v="2024-05-01T00:00:00"/>
    <m/>
    <n v="873"/>
    <s v="ATRASADO"/>
    <d v="2024-05-05T00:00:00"/>
    <m/>
    <n v="869"/>
    <s v="ATRASADO"/>
    <d v="2024-05-08T00:00:00"/>
    <m/>
    <n v="866"/>
    <s v="ATRASADO"/>
    <m/>
  </r>
  <r>
    <x v="3"/>
    <d v="2024-04-26T00:00:00"/>
    <s v="FRANCISCO DAS CHAGAS LUZ SILVA"/>
    <x v="23"/>
    <x v="1"/>
    <x v="9"/>
    <s v="Encarregado da equipe de roço da equipe PDT554 Francisco das Chagas, após concluir a atividade de roço no povoado vila real . Foi da ré no veículo e não percebeu o tronco de árvore, vindo a bater no mesmo."/>
    <s v="JOÃO CLIMACO"/>
    <s v="PRESIDENTE DUTRA"/>
    <s v="NÃO"/>
    <x v="0"/>
    <s v="LEVE"/>
    <s v="SEM AFASTAMENTO"/>
    <d v="2024-04-26T00:00:00"/>
    <d v="2024-04-29T00:00:00"/>
    <n v="3"/>
    <s v="ATRASADO"/>
    <d v="2024-04-27T00:00:00"/>
    <m/>
    <n v="877"/>
    <s v="ATRASADO"/>
    <d v="2024-05-01T00:00:00"/>
    <m/>
    <n v="873"/>
    <s v="ATRASADO"/>
    <d v="2024-05-04T00:00:00"/>
    <m/>
    <n v="870"/>
    <s v="ATRASADO"/>
    <m/>
  </r>
  <r>
    <x v="4"/>
    <d v="2024-05-23T00:00:00"/>
    <s v="FRANCISCO DAS CHAGAS LUZ SILVA"/>
    <x v="23"/>
    <x v="1"/>
    <x v="9"/>
    <s v="Colaborador FRANCISCO DAS CHAGAS LUZ SILVA estava se deslocando na viatura de placa ROT6C71 entre o posto de lavagem credenciado e hotel e no semáforo colódio com um motociclista trazendo danos materiais para o veículo_x000a_OBS: As informações ainda estão sendo melhor apuradas pois o condutor que também é encarregado da equipe, não sinalizou nenhuma liderança a respeito do acontecido."/>
    <s v="HUGO PORTELA"/>
    <s v="PRESIDENTE DUTRA"/>
    <s v="SIM"/>
    <x v="0"/>
    <s v="LEVE"/>
    <s v="SEM AFASTAMENTO"/>
    <d v="2024-05-23T00:00:00"/>
    <d v="2024-05-23T00:00:00"/>
    <n v="0"/>
    <s v="NO PRAZO"/>
    <d v="2024-05-24T00:00:00"/>
    <m/>
    <n v="850"/>
    <s v="ATRASADO"/>
    <d v="2024-05-28T00:00:00"/>
    <m/>
    <n v="846"/>
    <s v="ATRASADO"/>
    <d v="2024-05-31T00:00:00"/>
    <m/>
    <n v="843"/>
    <s v="ATRASADO"/>
    <m/>
  </r>
  <r>
    <x v="5"/>
    <d v="2024-06-13T00:00:00"/>
    <s v="RYKEWMY PEREIRA DOS SANTOS"/>
    <x v="24"/>
    <x v="0"/>
    <x v="9"/>
    <s v="Equipe deslocava de Santo Antônio dos Lopes para Dom Pedro após o atendimento da nota 1090632193 RL. No percurso o colaborador Rykewmy que conduzia a viatura de placa QYV8I69 relatou que cochilou e acabou descendo para o acostamento da BR135 onde veio a colidir com uma placa de sinalização causando danos materiais na viatura o padrinho de segurança da equipe( Felipe da Conceição ) disse que percebeu a mudança de direção da viatura mas para evitar uma situação ainda mais grave não puxou o volante para retomar o percurso pois o risco da mudança brusca de percurso poderia ocasionar o capotamento da viatura o mesmo chamou o parceiro que veio a se alertar e retomou a direção da viatura. Não tivemos lesões com os colaboradores.  "/>
    <s v="BRUNO ALBUQUERQUE"/>
    <s v="DOM PEDRO"/>
    <s v="NÃO"/>
    <x v="0"/>
    <s v="LEVE"/>
    <s v="SEM AFASTAMENTO"/>
    <d v="2024-06-13T00:00:00"/>
    <d v="2024-06-15T00:00:00"/>
    <n v="2"/>
    <s v="ATRASADO"/>
    <d v="2024-06-14T00:00:00"/>
    <d v="2024-06-15T00:00:00"/>
    <n v="1"/>
    <s v="ATRASADO"/>
    <d v="2024-06-18T00:00:00"/>
    <d v="2024-06-18T00:00:00"/>
    <n v="0"/>
    <s v="NO PRAZO"/>
    <d v="2024-06-21T00:00:00"/>
    <m/>
    <n v="822"/>
    <s v="ATRASADO"/>
    <m/>
  </r>
  <r>
    <x v="6"/>
    <m/>
    <m/>
    <x v="25"/>
    <x v="6"/>
    <x v="10"/>
    <m/>
    <m/>
    <m/>
    <m/>
    <x v="5"/>
    <m/>
    <m/>
    <s v=""/>
    <m/>
    <s v=""/>
    <s v=""/>
    <s v=""/>
    <m/>
    <s v=""/>
    <s v=""/>
    <s v=""/>
    <m/>
    <s v=""/>
    <s v=""/>
    <s v=""/>
    <m/>
    <s v=""/>
    <s v=""/>
    <m/>
  </r>
  <r>
    <x v="7"/>
    <m/>
    <m/>
    <x v="25"/>
    <x v="6"/>
    <x v="10"/>
    <m/>
    <m/>
    <m/>
    <m/>
    <x v="5"/>
    <m/>
    <m/>
    <s v=""/>
    <m/>
    <s v=""/>
    <s v=""/>
    <s v=""/>
    <m/>
    <s v=""/>
    <s v=""/>
    <s v=""/>
    <m/>
    <s v=""/>
    <s v=""/>
    <s v=""/>
    <m/>
    <s v=""/>
    <s v=""/>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ela dinâmica6"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4">
  <location ref="CI4:CJ10" firstHeaderRow="1" firstDataRow="1" firstDataCol="1"/>
  <pivotFields count="44">
    <pivotField showAll="0" defaultSubtotal="0">
      <items count="16">
        <item h="1" x="0"/>
        <item h="1" x="1"/>
        <item h="1" x="2"/>
        <item h="1" x="3"/>
        <item h="1" x="4"/>
        <item h="1" x="5"/>
        <item x="6"/>
        <item h="1" x="7"/>
        <item h="1" x="8"/>
        <item h="1" x="9"/>
        <item h="1" x="10"/>
        <item h="1" m="1" x="15"/>
        <item h="1" m="1" x="14"/>
        <item h="1" m="1" x="12"/>
        <item h="1" m="1" x="11"/>
        <item h="1" m="1" x="13"/>
      </items>
    </pivotField>
    <pivotField dataField="1" numFmtId="14" showAll="0"/>
    <pivotField showAll="0" defaultSubtotal="0"/>
    <pivotField axis="axisRow" showAll="0" sortType="descending">
      <items count="229">
        <item m="1" x="220"/>
        <item m="1" x="209"/>
        <item m="1" x="223"/>
        <item m="1" x="221"/>
        <item m="1" x="208"/>
        <item m="1" x="204"/>
        <item m="1" x="132"/>
        <item m="1" x="197"/>
        <item m="1" x="195"/>
        <item m="1" x="133"/>
        <item m="1" x="224"/>
        <item m="1" x="189"/>
        <item m="1" x="119"/>
        <item m="1" x="191"/>
        <item m="1" x="222"/>
        <item m="1" x="113"/>
        <item x="61"/>
        <item m="1" x="200"/>
        <item m="1" x="202"/>
        <item m="1" x="214"/>
        <item x="53"/>
        <item m="1" x="218"/>
        <item m="1" x="190"/>
        <item m="1" x="205"/>
        <item m="1" x="93"/>
        <item m="1" x="152"/>
        <item m="1" x="226"/>
        <item m="1" x="211"/>
        <item m="1" x="154"/>
        <item m="1" x="198"/>
        <item m="1" x="150"/>
        <item m="1" x="199"/>
        <item m="1" x="213"/>
        <item m="1" x="219"/>
        <item m="1" x="217"/>
        <item m="1" x="206"/>
        <item m="1" x="196"/>
        <item m="1" x="210"/>
        <item m="1" x="227"/>
        <item m="1" x="193"/>
        <item m="1" x="99"/>
        <item m="1" x="216"/>
        <item m="1" x="203"/>
        <item m="1" x="225"/>
        <item m="1" x="188"/>
        <item m="1" x="115"/>
        <item m="1" x="192"/>
        <item m="1" x="215"/>
        <item m="1" x="125"/>
        <item m="1" x="121"/>
        <item m="1" x="194"/>
        <item m="1" x="103"/>
        <item m="1" x="212"/>
        <item m="1" x="107"/>
        <item m="1" x="207"/>
        <item m="1" x="98"/>
        <item m="1" x="201"/>
        <item m="1" x="127"/>
        <item m="1" x="129"/>
        <item m="1" x="95"/>
        <item m="1" x="92"/>
        <item m="1" x="100"/>
        <item m="1" x="101"/>
        <item m="1" x="187"/>
        <item m="1" x="102"/>
        <item m="1" x="143"/>
        <item m="1" x="105"/>
        <item m="1" x="104"/>
        <item m="1" x="109"/>
        <item m="1" x="147"/>
        <item m="1" x="183"/>
        <item m="1" x="184"/>
        <item m="1" x="131"/>
        <item m="1" x="134"/>
        <item m="1" x="110"/>
        <item m="1" x="135"/>
        <item m="1" x="136"/>
        <item m="1" x="137"/>
        <item m="1" x="138"/>
        <item m="1" x="139"/>
        <item m="1" x="182"/>
        <item m="1" x="140"/>
        <item m="1" x="181"/>
        <item m="1" x="142"/>
        <item m="1" x="144"/>
        <item m="1" x="145"/>
        <item m="1" x="146"/>
        <item m="1" x="148"/>
        <item m="1" x="149"/>
        <item m="1" x="151"/>
        <item m="1" x="185"/>
        <item m="1" x="186"/>
        <item m="1" x="141"/>
        <item m="1" x="106"/>
        <item m="1" x="108"/>
        <item m="1" x="153"/>
        <item m="1" x="111"/>
        <item m="1" x="112"/>
        <item m="1" x="155"/>
        <item m="1" x="114"/>
        <item m="1" x="156"/>
        <item m="1" x="157"/>
        <item m="1" x="158"/>
        <item m="1" x="118"/>
        <item m="1" x="159"/>
        <item m="1" x="160"/>
        <item m="1" x="161"/>
        <item m="1" x="116"/>
        <item m="1" x="117"/>
        <item m="1" x="162"/>
        <item x="23"/>
        <item x="29"/>
        <item m="1" x="163"/>
        <item m="1" x="164"/>
        <item m="1" x="165"/>
        <item x="34"/>
        <item m="1" x="166"/>
        <item m="1" x="122"/>
        <item x="37"/>
        <item m="1" x="180"/>
        <item m="1" x="88"/>
        <item m="1" x="167"/>
        <item m="1" x="168"/>
        <item m="1" x="169"/>
        <item m="1" x="170"/>
        <item x="43"/>
        <item m="1" x="171"/>
        <item m="1" x="172"/>
        <item m="1" x="126"/>
        <item m="1" x="173"/>
        <item m="1" x="128"/>
        <item m="1" x="174"/>
        <item m="1" x="175"/>
        <item m="1" x="179"/>
        <item m="1" x="177"/>
        <item m="1" x="176"/>
        <item m="1" x="178"/>
        <item x="9"/>
        <item x="10"/>
        <item x="15"/>
        <item x="21"/>
        <item x="26"/>
        <item x="27"/>
        <item m="1" x="120"/>
        <item x="32"/>
        <item x="33"/>
        <item m="1" x="123"/>
        <item x="40"/>
        <item x="41"/>
        <item m="1" x="124"/>
        <item x="45"/>
        <item x="48"/>
        <item m="1" x="130"/>
        <item x="52"/>
        <item x="54"/>
        <item x="55"/>
        <item x="56"/>
        <item x="57"/>
        <item x="59"/>
        <item x="60"/>
        <item x="0"/>
        <item x="1"/>
        <item x="2"/>
        <item x="3"/>
        <item x="4"/>
        <item x="5"/>
        <item x="6"/>
        <item x="7"/>
        <item x="8"/>
        <item x="11"/>
        <item m="1" x="86"/>
        <item x="13"/>
        <item x="14"/>
        <item x="16"/>
        <item x="17"/>
        <item x="18"/>
        <item x="19"/>
        <item x="20"/>
        <item x="22"/>
        <item x="24"/>
        <item x="25"/>
        <item x="28"/>
        <item x="30"/>
        <item x="31"/>
        <item m="1" x="87"/>
        <item x="36"/>
        <item x="39"/>
        <item x="42"/>
        <item x="44"/>
        <item x="46"/>
        <item x="47"/>
        <item x="49"/>
        <item m="1" x="89"/>
        <item x="51"/>
        <item x="58"/>
        <item m="1" x="96"/>
        <item m="1" x="90"/>
        <item m="1" x="91"/>
        <item m="1" x="97"/>
        <item x="63"/>
        <item m="1" x="94"/>
        <item m="1" x="85"/>
        <item x="12"/>
        <item x="35"/>
        <item x="38"/>
        <item x="50"/>
        <item x="62"/>
        <item x="64"/>
        <item x="66"/>
        <item x="67"/>
        <item x="68"/>
        <item x="69"/>
        <item x="70"/>
        <item x="71"/>
        <item x="65"/>
        <item x="72"/>
        <item x="73"/>
        <item x="74"/>
        <item x="75"/>
        <item x="76"/>
        <item x="77"/>
        <item x="78"/>
        <item x="79"/>
        <item x="81"/>
        <item x="80"/>
        <item x="82"/>
        <item x="83"/>
        <item x="84"/>
        <item t="default"/>
      </items>
      <autoSortScope>
        <pivotArea dataOnly="0" outline="0" fieldPosition="0">
          <references count="1">
            <reference field="4294967294" count="1" selected="0">
              <x v="0"/>
            </reference>
          </references>
        </pivotArea>
      </autoSortScope>
    </pivotField>
    <pivotField showAll="0">
      <items count="16">
        <item m="1" x="8"/>
        <item x="6"/>
        <item x="3"/>
        <item m="1" x="12"/>
        <item x="1"/>
        <item x="0"/>
        <item x="2"/>
        <item x="4"/>
        <item m="1" x="13"/>
        <item m="1" x="10"/>
        <item m="1" x="11"/>
        <item m="1" x="14"/>
        <item m="1" x="9"/>
        <item x="5"/>
        <item m="1" x="7"/>
        <item t="default"/>
      </items>
    </pivotField>
    <pivotField showAll="0"/>
    <pivotField showAll="0" defaultSubtotal="0"/>
    <pivotField showAll="0" sortType="descending">
      <autoSortScope>
        <pivotArea dataOnly="0" outline="0" fieldPosition="0">
          <references count="1">
            <reference field="4294967294" count="1" selected="0">
              <x v="0"/>
            </reference>
          </references>
        </pivotArea>
      </autoSortScope>
    </pivotField>
    <pivotField showAll="0" defaultSubtotal="0"/>
    <pivotField showAll="0"/>
    <pivotField showAll="0" defaultSubtotal="0">
      <items count="7">
        <item x="2"/>
        <item x="4"/>
        <item x="5"/>
        <item x="3"/>
        <item x="0"/>
        <item x="1"/>
        <item m="1" x="6"/>
      </items>
    </pivotField>
    <pivotField showAll="0"/>
    <pivotField showAll="0"/>
    <pivotField showAll="0" defaultSubtotal="0"/>
    <pivotField numFmtId="14"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sortType="descending">
      <items count="47">
        <item h="1" m="1" x="31"/>
        <item h="1" m="1" x="30"/>
        <item h="1" m="1" x="7"/>
        <item h="1" m="1" x="37"/>
        <item h="1" m="1" x="33"/>
        <item h="1" m="1" x="40"/>
        <item h="1" m="1" x="44"/>
        <item h="1" m="1" x="43"/>
        <item h="1" m="1" x="35"/>
        <item h="1" m="1" x="28"/>
        <item h="1" m="1" x="36"/>
        <item h="1" m="1" x="32"/>
        <item h="1" m="1" x="13"/>
        <item h="1" m="1" x="41"/>
        <item h="1" m="1" x="45"/>
        <item h="1" m="1" x="29"/>
        <item h="1" m="1" x="38"/>
        <item h="1" m="1" x="42"/>
        <item h="1" m="1" x="10"/>
        <item h="1" m="1" x="39"/>
        <item h="1" m="1" x="34"/>
        <item h="1" m="1" x="8"/>
        <item h="1" m="1" x="12"/>
        <item h="1" m="1" x="15"/>
        <item h="1" m="1" x="18"/>
        <item h="1" m="1" x="11"/>
        <item h="1" m="1" x="19"/>
        <item h="1" m="1" x="20"/>
        <item h="1" m="1" x="22"/>
        <item h="1" m="1" x="24"/>
        <item h="1" m="1" x="25"/>
        <item h="1" m="1" x="14"/>
        <item h="1" m="1" x="16"/>
        <item h="1" m="1" x="17"/>
        <item h="1" m="1" x="21"/>
        <item h="1" m="1" x="26"/>
        <item h="1" m="1" x="23"/>
        <item h="1" m="1" x="27"/>
        <item x="0"/>
        <item h="1" x="1"/>
        <item h="1" x="3"/>
        <item h="1" m="1" x="9"/>
        <item h="1" m="1" x="5"/>
        <item h="1" m="1" x="6"/>
        <item h="1" x="2"/>
        <item h="1"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3"/>
  </rowFields>
  <rowItems count="6">
    <i>
      <x v="203"/>
    </i>
    <i>
      <x v="110"/>
    </i>
    <i>
      <x v="221"/>
    </i>
    <i>
      <x v="173"/>
    </i>
    <i>
      <x v="174"/>
    </i>
    <i t="grand">
      <x/>
    </i>
  </rowItems>
  <colItems count="1">
    <i/>
  </colItems>
  <dataFields count="1">
    <dataField name="Contagem de DATA" fld="1" subtotal="count" baseField="0" baseItem="0"/>
  </dataFields>
  <formats count="10">
    <format dxfId="194">
      <pivotArea type="all" dataOnly="0" outline="0" fieldPosition="0"/>
    </format>
    <format dxfId="193">
      <pivotArea outline="0" collapsedLevelsAreSubtotals="1" fieldPosition="0"/>
    </format>
    <format dxfId="192">
      <pivotArea field="41" type="button" dataOnly="0" labelOnly="1" outline="0"/>
    </format>
    <format dxfId="191">
      <pivotArea dataOnly="0" labelOnly="1" grandRow="1" outline="0" fieldPosition="0"/>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field="41" type="button" dataOnly="0" labelOnly="1" outline="0"/>
    </format>
    <format dxfId="186">
      <pivotArea dataOnly="0" labelOnly="1" grandRow="1" outline="0" fieldPosition="0"/>
    </format>
    <format dxfId="185">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Tabela dinâmica5"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2">
  <location ref="CE4:CF7" firstHeaderRow="1" firstDataRow="1" firstDataCol="1"/>
  <pivotFields count="44">
    <pivotField showAll="0" defaultSubtotal="0">
      <items count="16">
        <item h="1" x="0"/>
        <item h="1" x="1"/>
        <item h="1" x="2"/>
        <item h="1" x="3"/>
        <item h="1" x="4"/>
        <item h="1" x="5"/>
        <item x="6"/>
        <item h="1" x="7"/>
        <item h="1" x="8"/>
        <item h="1" x="9"/>
        <item h="1" x="10"/>
        <item h="1" m="1" x="15"/>
        <item h="1" m="1" x="14"/>
        <item h="1" m="1" x="12"/>
        <item h="1" m="1" x="11"/>
        <item h="1" m="1" x="13"/>
      </items>
    </pivotField>
    <pivotField dataField="1" numFmtId="14" showAll="0"/>
    <pivotField showAll="0" defaultSubtotal="0"/>
    <pivotField showAll="0"/>
    <pivotField axis="axisRow" showAll="0" sortType="descending">
      <items count="16">
        <item m="1" x="12"/>
        <item x="1"/>
        <item x="0"/>
        <item x="2"/>
        <item m="1" x="13"/>
        <item m="1" x="11"/>
        <item m="1" x="14"/>
        <item m="1" x="8"/>
        <item m="1" x="10"/>
        <item m="1" x="7"/>
        <item x="3"/>
        <item x="4"/>
        <item m="1" x="9"/>
        <item x="5"/>
        <item x="6"/>
        <item t="default"/>
      </items>
      <autoSortScope>
        <pivotArea dataOnly="0" outline="0" fieldPosition="0">
          <references count="1">
            <reference field="4294967294" count="1" selected="0">
              <x v="0"/>
            </reference>
          </references>
        </pivotArea>
      </autoSortScope>
    </pivotField>
    <pivotField showAll="0"/>
    <pivotField showAll="0" defaultSubtotal="0"/>
    <pivotField showAll="0" sortType="descending">
      <autoSortScope>
        <pivotArea dataOnly="0" outline="0" fieldPosition="0">
          <references count="1">
            <reference field="4294967294" count="1" selected="0">
              <x v="0"/>
            </reference>
          </references>
        </pivotArea>
      </autoSortScope>
    </pivotField>
    <pivotField showAll="0" defaultSubtotal="0"/>
    <pivotField showAll="0"/>
    <pivotField showAll="0" defaultSubtotal="0">
      <items count="7">
        <item x="2"/>
        <item x="4"/>
        <item x="5"/>
        <item x="3"/>
        <item x="0"/>
        <item x="1"/>
        <item m="1" x="6"/>
      </items>
    </pivotField>
    <pivotField showAll="0"/>
    <pivotField showAll="0"/>
    <pivotField showAll="0" defaultSubtotal="0"/>
    <pivotField numFmtId="14"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sortType="descending">
      <items count="47">
        <item h="1" m="1" x="31"/>
        <item h="1" m="1" x="30"/>
        <item h="1" m="1" x="7"/>
        <item h="1" m="1" x="37"/>
        <item h="1" m="1" x="33"/>
        <item h="1" m="1" x="40"/>
        <item h="1" m="1" x="44"/>
        <item h="1" m="1" x="43"/>
        <item h="1" m="1" x="35"/>
        <item h="1" m="1" x="28"/>
        <item h="1" m="1" x="36"/>
        <item h="1" m="1" x="32"/>
        <item h="1" m="1" x="13"/>
        <item h="1" m="1" x="41"/>
        <item h="1" m="1" x="45"/>
        <item h="1" m="1" x="29"/>
        <item h="1" m="1" x="38"/>
        <item h="1" m="1" x="42"/>
        <item h="1" m="1" x="10"/>
        <item h="1" m="1" x="39"/>
        <item h="1" m="1" x="34"/>
        <item h="1" m="1" x="8"/>
        <item h="1" m="1" x="12"/>
        <item h="1" m="1" x="15"/>
        <item h="1" m="1" x="18"/>
        <item h="1" m="1" x="11"/>
        <item h="1" m="1" x="19"/>
        <item h="1" m="1" x="20"/>
        <item h="1" m="1" x="22"/>
        <item h="1" m="1" x="24"/>
        <item h="1" m="1" x="25"/>
        <item h="1" m="1" x="14"/>
        <item h="1" m="1" x="16"/>
        <item h="1" m="1" x="17"/>
        <item h="1" m="1" x="21"/>
        <item h="1" m="1" x="26"/>
        <item h="1" m="1" x="23"/>
        <item h="1" m="1" x="27"/>
        <item x="0"/>
        <item h="1" x="1"/>
        <item h="1" x="3"/>
        <item h="1" m="1" x="9"/>
        <item h="1" m="1" x="5"/>
        <item h="1" m="1" x="6"/>
        <item h="1" x="2"/>
        <item h="1"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4"/>
  </rowFields>
  <rowItems count="3">
    <i>
      <x v="2"/>
    </i>
    <i>
      <x v="10"/>
    </i>
    <i t="grand">
      <x/>
    </i>
  </rowItems>
  <colItems count="1">
    <i/>
  </colItems>
  <dataFields count="1">
    <dataField name="Contagem de DATA" fld="1" subtotal="count" baseField="0" baseItem="0"/>
  </dataFields>
  <formats count="10">
    <format dxfId="204">
      <pivotArea type="all" dataOnly="0" outline="0" fieldPosition="0"/>
    </format>
    <format dxfId="203">
      <pivotArea outline="0" collapsedLevelsAreSubtotals="1" fieldPosition="0"/>
    </format>
    <format dxfId="202">
      <pivotArea field="41" type="button" dataOnly="0" labelOnly="1" outline="0"/>
    </format>
    <format dxfId="201">
      <pivotArea dataOnly="0" labelOnly="1" grandRow="1" outline="0"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field="41" type="button" dataOnly="0" labelOnly="1" outline="0"/>
    </format>
    <format dxfId="196">
      <pivotArea dataOnly="0" labelOnly="1" grandRow="1" outline="0" fieldPosition="0"/>
    </format>
    <format dxfId="195">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 chart="4" format="15">
      <pivotArea type="data" outline="0" fieldPosition="0">
        <references count="2">
          <reference field="4294967294" count="1" selected="0">
            <x v="0"/>
          </reference>
          <reference field="4" count="1" selected="0">
            <x v="2"/>
          </reference>
        </references>
      </pivotArea>
    </chartFormat>
    <chartFormat chart="4" format="16">
      <pivotArea type="data" outline="0" fieldPosition="0">
        <references count="2">
          <reference field="4294967294" count="1" selected="0">
            <x v="0"/>
          </reference>
          <reference field="4" count="1" selected="0">
            <x v="1"/>
          </reference>
        </references>
      </pivotArea>
    </chartFormat>
    <chartFormat chart="4" format="17">
      <pivotArea type="data" outline="0" fieldPosition="0">
        <references count="2">
          <reference field="4294967294" count="1" selected="0">
            <x v="0"/>
          </reference>
          <reference field="4" count="1" selected="0">
            <x v="7"/>
          </reference>
        </references>
      </pivotArea>
    </chartFormat>
    <chartFormat chart="4" format="19">
      <pivotArea type="data" outline="0" fieldPosition="0">
        <references count="2">
          <reference field="4294967294" count="1" selected="0">
            <x v="0"/>
          </reference>
          <reference field="4" count="1" selected="0">
            <x v="8"/>
          </reference>
        </references>
      </pivotArea>
    </chartFormat>
    <chartFormat chart="4" format="20">
      <pivotArea type="data" outline="0" fieldPosition="0">
        <references count="2">
          <reference field="4294967294" count="1" selected="0">
            <x v="0"/>
          </reference>
          <reference field="4" count="1" selected="0">
            <x v="9"/>
          </reference>
        </references>
      </pivotArea>
    </chartFormat>
    <chartFormat chart="4" format="21">
      <pivotArea type="data" outline="0" fieldPosition="0">
        <references count="2">
          <reference field="4294967294" count="1" selected="0">
            <x v="0"/>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Tabela dinâmica4"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2">
  <location ref="CA4:CB9" firstHeaderRow="1" firstDataRow="1" firstDataCol="1"/>
  <pivotFields count="44">
    <pivotField showAll="0" defaultSubtotal="0">
      <items count="16">
        <item h="1" x="0"/>
        <item h="1" x="1"/>
        <item h="1" x="2"/>
        <item h="1" x="3"/>
        <item h="1" x="4"/>
        <item h="1" x="5"/>
        <item x="6"/>
        <item h="1" x="7"/>
        <item h="1" x="8"/>
        <item h="1" x="9"/>
        <item h="1" x="10"/>
        <item h="1" m="1" x="15"/>
        <item h="1" m="1" x="14"/>
        <item h="1" m="1" x="12"/>
        <item h="1" m="1" x="11"/>
        <item h="1" m="1" x="13"/>
      </items>
    </pivotField>
    <pivotField dataField="1" numFmtId="14" showAll="0"/>
    <pivotField showAll="0" defaultSubtotal="0"/>
    <pivotField showAll="0"/>
    <pivotField showAll="0">
      <items count="16">
        <item m="1" x="8"/>
        <item x="6"/>
        <item x="3"/>
        <item m="1" x="12"/>
        <item x="1"/>
        <item x="0"/>
        <item x="2"/>
        <item x="4"/>
        <item m="1" x="13"/>
        <item m="1" x="10"/>
        <item m="1" x="11"/>
        <item m="1" x="14"/>
        <item m="1" x="9"/>
        <item x="5"/>
        <item m="1" x="7"/>
        <item t="default"/>
      </items>
    </pivotField>
    <pivotField showAll="0"/>
    <pivotField showAll="0" defaultSubtotal="0"/>
    <pivotField showAll="0"/>
    <pivotField showAll="0" defaultSubtotal="0"/>
    <pivotField showAll="0"/>
    <pivotField axis="axisRow" showAll="0" defaultSubtotal="0">
      <items count="7">
        <item x="2"/>
        <item x="5"/>
        <item x="3"/>
        <item x="0"/>
        <item x="1"/>
        <item m="1" x="6"/>
        <item x="4"/>
      </items>
    </pivotField>
    <pivotField showAll="0"/>
    <pivotField showAll="0"/>
    <pivotField showAll="0" defaultSubtotal="0"/>
    <pivotField numFmtId="14"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sortType="descending">
      <items count="47">
        <item h="1" m="1" x="31"/>
        <item h="1" m="1" x="30"/>
        <item h="1" m="1" x="7"/>
        <item h="1" m="1" x="37"/>
        <item h="1" m="1" x="33"/>
        <item h="1" m="1" x="40"/>
        <item h="1" m="1" x="44"/>
        <item h="1" m="1" x="43"/>
        <item h="1" m="1" x="35"/>
        <item h="1" m="1" x="28"/>
        <item h="1" m="1" x="36"/>
        <item h="1" m="1" x="32"/>
        <item h="1" m="1" x="13"/>
        <item h="1" m="1" x="41"/>
        <item h="1" m="1" x="45"/>
        <item h="1" m="1" x="29"/>
        <item h="1" m="1" x="38"/>
        <item h="1" m="1" x="42"/>
        <item h="1" m="1" x="10"/>
        <item h="1" m="1" x="39"/>
        <item h="1" m="1" x="34"/>
        <item h="1" m="1" x="8"/>
        <item h="1" m="1" x="12"/>
        <item h="1" m="1" x="15"/>
        <item h="1" m="1" x="18"/>
        <item h="1" m="1" x="11"/>
        <item h="1" m="1" x="19"/>
        <item h="1" m="1" x="20"/>
        <item h="1" m="1" x="22"/>
        <item h="1" m="1" x="24"/>
        <item h="1" m="1" x="25"/>
        <item h="1" m="1" x="14"/>
        <item h="1" m="1" x="16"/>
        <item h="1" m="1" x="17"/>
        <item h="1" m="1" x="21"/>
        <item h="1" m="1" x="26"/>
        <item h="1" m="1" x="23"/>
        <item h="1" m="1" x="27"/>
        <item x="0"/>
        <item h="1" x="1"/>
        <item h="1" x="3"/>
        <item h="1" m="1" x="9"/>
        <item h="1" m="1" x="5"/>
        <item h="1" m="1" x="6"/>
        <item h="1" x="2"/>
        <item h="1"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5">
    <i>
      <x/>
    </i>
    <i>
      <x v="1"/>
    </i>
    <i>
      <x v="2"/>
    </i>
    <i>
      <x v="4"/>
    </i>
    <i t="grand">
      <x/>
    </i>
  </rowItems>
  <colItems count="1">
    <i/>
  </colItems>
  <dataFields count="1">
    <dataField name="Contagem de DATA" fld="1" subtotal="count" baseField="0" baseItem="0"/>
  </dataFields>
  <formats count="10">
    <format dxfId="214">
      <pivotArea type="all" dataOnly="0" outline="0" fieldPosition="0"/>
    </format>
    <format dxfId="213">
      <pivotArea outline="0" collapsedLevelsAreSubtotals="1" fieldPosition="0"/>
    </format>
    <format dxfId="212">
      <pivotArea field="41" type="button" dataOnly="0" labelOnly="1" outline="0"/>
    </format>
    <format dxfId="211">
      <pivotArea dataOnly="0" labelOnly="1" grandRow="1" outline="0" fieldPosition="0"/>
    </format>
    <format dxfId="210">
      <pivotArea dataOnly="0" labelOnly="1" outline="0" axis="axisValues" fieldPosition="0"/>
    </format>
    <format dxfId="209">
      <pivotArea type="all" dataOnly="0" outline="0" fieldPosition="0"/>
    </format>
    <format dxfId="208">
      <pivotArea outline="0" collapsedLevelsAreSubtotals="1" fieldPosition="0"/>
    </format>
    <format dxfId="207">
      <pivotArea field="41" type="button" dataOnly="0" labelOnly="1" outline="0"/>
    </format>
    <format dxfId="206">
      <pivotArea dataOnly="0" labelOnly="1" grandRow="1" outline="0" fieldPosition="0"/>
    </format>
    <format dxfId="205">
      <pivotArea dataOnly="0" labelOnly="1" outline="0" axis="axisValues" fieldPosition="0"/>
    </format>
  </formats>
  <chartFormats count="9">
    <chartFormat chart="3" format="0" series="1">
      <pivotArea type="data" outline="0" fieldPosition="0">
        <references count="1">
          <reference field="4294967294" count="1" selected="0">
            <x v="0"/>
          </reference>
        </references>
      </pivotArea>
    </chartFormat>
    <chartFormat chart="3" format="6">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 chart="3" format="9">
      <pivotArea type="data" outline="0" fieldPosition="0">
        <references count="2">
          <reference field="4294967294" count="1" selected="0">
            <x v="0"/>
          </reference>
          <reference field="10" count="1" selected="0">
            <x v="2"/>
          </reference>
        </references>
      </pivotArea>
    </chartFormat>
    <chartFormat chart="3" format="10">
      <pivotArea type="data" outline="0" fieldPosition="0">
        <references count="2">
          <reference field="4294967294" count="1" selected="0">
            <x v="0"/>
          </reference>
          <reference field="10" count="1" selected="0">
            <x v="3"/>
          </reference>
        </references>
      </pivotArea>
    </chartFormat>
    <chartFormat chart="3" format="11">
      <pivotArea type="data" outline="0" fieldPosition="0">
        <references count="2">
          <reference field="4294967294" count="1" selected="0">
            <x v="0"/>
          </reference>
          <reference field="10" count="1" selected="0">
            <x v="4"/>
          </reference>
        </references>
      </pivotArea>
    </chartFormat>
    <chartFormat chart="3" format="12">
      <pivotArea type="data" outline="0" fieldPosition="0">
        <references count="2">
          <reference field="4294967294" count="1" selected="0">
            <x v="0"/>
          </reference>
          <reference field="10" count="1" selected="0">
            <x v="5"/>
          </reference>
        </references>
      </pivotArea>
    </chartFormat>
    <chartFormat chart="3" format="13">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Tabela dinâmica3"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9">
  <location ref="BW4:BX6" firstHeaderRow="1" firstDataRow="1" firstDataCol="1"/>
  <pivotFields count="44">
    <pivotField showAll="0" defaultSubtotal="0">
      <items count="16">
        <item h="1" x="0"/>
        <item h="1" x="1"/>
        <item h="1" x="2"/>
        <item h="1" x="3"/>
        <item h="1" x="4"/>
        <item h="1" x="5"/>
        <item x="6"/>
        <item h="1" x="7"/>
        <item h="1" x="8"/>
        <item h="1" x="9"/>
        <item h="1" x="10"/>
        <item h="1" m="1" x="15"/>
        <item h="1" m="1" x="14"/>
        <item h="1" m="1" x="12"/>
        <item h="1" m="1" x="11"/>
        <item h="1" m="1" x="13"/>
      </items>
    </pivotField>
    <pivotField dataField="1" numFmtId="14" showAll="0"/>
    <pivotField showAll="0" defaultSubtotal="0"/>
    <pivotField showAll="0"/>
    <pivotField showAll="0">
      <items count="16">
        <item m="1" x="8"/>
        <item x="6"/>
        <item x="3"/>
        <item m="1" x="12"/>
        <item x="1"/>
        <item x="0"/>
        <item x="2"/>
        <item x="4"/>
        <item m="1" x="13"/>
        <item m="1" x="10"/>
        <item m="1" x="11"/>
        <item m="1" x="14"/>
        <item m="1" x="9"/>
        <item x="5"/>
        <item m="1" x="7"/>
        <item t="default"/>
      </items>
    </pivotField>
    <pivotField showAll="0"/>
    <pivotField showAll="0" defaultSubtotal="0"/>
    <pivotField showAll="0"/>
    <pivotField showAll="0" defaultSubtotal="0"/>
    <pivotField showAll="0"/>
    <pivotField showAll="0" defaultSubtotal="0">
      <items count="7">
        <item x="2"/>
        <item x="4"/>
        <item x="5"/>
        <item x="3"/>
        <item x="0"/>
        <item x="1"/>
        <item m="1" x="6"/>
      </items>
    </pivotField>
    <pivotField showAll="0"/>
    <pivotField showAll="0"/>
    <pivotField showAll="0" defaultSubtotal="0"/>
    <pivotField numFmtId="14"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sortType="descending">
      <items count="47">
        <item h="1" m="1" x="31"/>
        <item h="1" m="1" x="30"/>
        <item h="1" m="1" x="7"/>
        <item h="1" m="1" x="37"/>
        <item h="1" m="1" x="33"/>
        <item h="1" m="1" x="40"/>
        <item h="1" m="1" x="44"/>
        <item h="1" m="1" x="43"/>
        <item h="1" m="1" x="35"/>
        <item h="1" m="1" x="28"/>
        <item h="1" m="1" x="36"/>
        <item h="1" m="1" x="32"/>
        <item h="1" m="1" x="13"/>
        <item h="1" m="1" x="41"/>
        <item h="1" m="1" x="45"/>
        <item h="1" m="1" x="29"/>
        <item h="1" m="1" x="38"/>
        <item h="1" m="1" x="42"/>
        <item h="1" m="1" x="10"/>
        <item h="1" m="1" x="39"/>
        <item h="1" m="1" x="34"/>
        <item h="1" m="1" x="8"/>
        <item h="1" m="1" x="12"/>
        <item h="1" m="1" x="15"/>
        <item h="1" m="1" x="18"/>
        <item h="1" m="1" x="11"/>
        <item h="1" m="1" x="19"/>
        <item h="1" m="1" x="20"/>
        <item h="1" m="1" x="22"/>
        <item h="1" m="1" x="24"/>
        <item h="1" m="1" x="25"/>
        <item h="1" m="1" x="14"/>
        <item h="1" m="1" x="16"/>
        <item h="1" m="1" x="17"/>
        <item h="1" m="1" x="21"/>
        <item h="1" m="1" x="26"/>
        <item h="1" m="1" x="23"/>
        <item h="1" m="1" x="27"/>
        <item x="0"/>
        <item h="1" x="1"/>
        <item h="1" x="3"/>
        <item h="1" m="1" x="9"/>
        <item h="1" m="1" x="5"/>
        <item h="1" m="1" x="6"/>
        <item h="1" x="2"/>
        <item h="1"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41"/>
  </rowFields>
  <rowItems count="2">
    <i>
      <x v="38"/>
    </i>
    <i t="grand">
      <x/>
    </i>
  </rowItems>
  <colItems count="1">
    <i/>
  </colItems>
  <dataFields count="1">
    <dataField name="Contagem de DATA" fld="1" subtotal="count" baseField="0" baseItem="0"/>
  </dataFields>
  <formats count="12">
    <format dxfId="226">
      <pivotArea type="all" dataOnly="0" outline="0" fieldPosition="0"/>
    </format>
    <format dxfId="225">
      <pivotArea outline="0" collapsedLevelsAreSubtotals="1" fieldPosition="0"/>
    </format>
    <format dxfId="224">
      <pivotArea field="41" type="button" dataOnly="0" labelOnly="1" outline="0" axis="axisRow" fieldPosition="0"/>
    </format>
    <format dxfId="223">
      <pivotArea dataOnly="0" labelOnly="1" fieldPosition="0">
        <references count="1">
          <reference field="41" count="0"/>
        </references>
      </pivotArea>
    </format>
    <format dxfId="222">
      <pivotArea dataOnly="0" labelOnly="1" grandRow="1" outline="0" fieldPosition="0"/>
    </format>
    <format dxfId="221">
      <pivotArea dataOnly="0" labelOnly="1" outline="0" axis="axisValues" fieldPosition="0"/>
    </format>
    <format dxfId="220">
      <pivotArea type="all" dataOnly="0" outline="0" fieldPosition="0"/>
    </format>
    <format dxfId="219">
      <pivotArea outline="0" collapsedLevelsAreSubtotals="1" fieldPosition="0"/>
    </format>
    <format dxfId="218">
      <pivotArea field="41" type="button" dataOnly="0" labelOnly="1" outline="0" axis="axisRow" fieldPosition="0"/>
    </format>
    <format dxfId="217">
      <pivotArea dataOnly="0" labelOnly="1" fieldPosition="0">
        <references count="1">
          <reference field="41" count="0"/>
        </references>
      </pivotArea>
    </format>
    <format dxfId="216">
      <pivotArea dataOnly="0" labelOnly="1" grandRow="1" outline="0" fieldPosition="0"/>
    </format>
    <format dxfId="215">
      <pivotArea dataOnly="0" labelOnly="1" outline="0" axis="axisValues" fieldPosition="0"/>
    </format>
  </formats>
  <chartFormats count="4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1" count="1" selected="0">
            <x v="2"/>
          </reference>
        </references>
      </pivotArea>
    </chartFormat>
    <chartFormat chart="1" format="2">
      <pivotArea type="data" outline="0" fieldPosition="0">
        <references count="2">
          <reference field="4294967294" count="1" selected="0">
            <x v="0"/>
          </reference>
          <reference field="41" count="1" selected="0">
            <x v="1"/>
          </reference>
        </references>
      </pivotArea>
    </chartFormat>
    <chartFormat chart="1" format="3">
      <pivotArea type="data" outline="0" fieldPosition="0">
        <references count="2">
          <reference field="4294967294" count="1" selected="0">
            <x v="0"/>
          </reference>
          <reference field="41" count="1" selected="0">
            <x v="0"/>
          </reference>
        </references>
      </pivotArea>
    </chartFormat>
    <chartFormat chart="1" format="4">
      <pivotArea type="data" outline="0" fieldPosition="0">
        <references count="2">
          <reference field="4294967294" count="1" selected="0">
            <x v="0"/>
          </reference>
          <reference field="41" count="1" selected="0">
            <x v="3"/>
          </reference>
        </references>
      </pivotArea>
    </chartFormat>
    <chartFormat chart="1" format="5">
      <pivotArea type="data" outline="0" fieldPosition="0">
        <references count="2">
          <reference field="4294967294" count="1" selected="0">
            <x v="0"/>
          </reference>
          <reference field="41" count="1" selected="0">
            <x v="4"/>
          </reference>
        </references>
      </pivotArea>
    </chartFormat>
    <chartFormat chart="1" format="6">
      <pivotArea type="data" outline="0" fieldPosition="0">
        <references count="2">
          <reference field="4294967294" count="1" selected="0">
            <x v="0"/>
          </reference>
          <reference field="41" count="1" selected="0">
            <x v="5"/>
          </reference>
        </references>
      </pivotArea>
    </chartFormat>
    <chartFormat chart="1" format="7">
      <pivotArea type="data" outline="0" fieldPosition="0">
        <references count="2">
          <reference field="4294967294" count="1" selected="0">
            <x v="0"/>
          </reference>
          <reference field="41" count="1" selected="0">
            <x v="7"/>
          </reference>
        </references>
      </pivotArea>
    </chartFormat>
    <chartFormat chart="1" format="8">
      <pivotArea type="data" outline="0" fieldPosition="0">
        <references count="2">
          <reference field="4294967294" count="1" selected="0">
            <x v="0"/>
          </reference>
          <reference field="41" count="1" selected="0">
            <x v="8"/>
          </reference>
        </references>
      </pivotArea>
    </chartFormat>
    <chartFormat chart="1" format="9">
      <pivotArea type="data" outline="0" fieldPosition="0">
        <references count="2">
          <reference field="4294967294" count="1" selected="0">
            <x v="0"/>
          </reference>
          <reference field="41" count="1" selected="0">
            <x v="6"/>
          </reference>
        </references>
      </pivotArea>
    </chartFormat>
    <chartFormat chart="1" format="10">
      <pivotArea type="data" outline="0" fieldPosition="0">
        <references count="2">
          <reference field="4294967294" count="1" selected="0">
            <x v="0"/>
          </reference>
          <reference field="41" count="1" selected="0">
            <x v="15"/>
          </reference>
        </references>
      </pivotArea>
    </chartFormat>
    <chartFormat chart="1" format="11">
      <pivotArea type="data" outline="0" fieldPosition="0">
        <references count="2">
          <reference field="4294967294" count="1" selected="0">
            <x v="0"/>
          </reference>
          <reference field="41" count="1" selected="0">
            <x v="16"/>
          </reference>
        </references>
      </pivotArea>
    </chartFormat>
    <chartFormat chart="1" format="12">
      <pivotArea type="data" outline="0" fieldPosition="0">
        <references count="2">
          <reference field="4294967294" count="1" selected="0">
            <x v="0"/>
          </reference>
          <reference field="41" count="1" selected="0">
            <x v="12"/>
          </reference>
        </references>
      </pivotArea>
    </chartFormat>
    <chartFormat chart="1" format="13">
      <pivotArea type="data" outline="0" fieldPosition="0">
        <references count="2">
          <reference field="4294967294" count="1" selected="0">
            <x v="0"/>
          </reference>
          <reference field="41" count="1" selected="0">
            <x v="10"/>
          </reference>
        </references>
      </pivotArea>
    </chartFormat>
    <chartFormat chart="1" format="14">
      <pivotArea type="data" outline="0" fieldPosition="0">
        <references count="2">
          <reference field="4294967294" count="1" selected="0">
            <x v="0"/>
          </reference>
          <reference field="41" count="1" selected="0">
            <x v="11"/>
          </reference>
        </references>
      </pivotArea>
    </chartFormat>
    <chartFormat chart="1" format="15">
      <pivotArea type="data" outline="0" fieldPosition="0">
        <references count="2">
          <reference field="4294967294" count="1" selected="0">
            <x v="0"/>
          </reference>
          <reference field="41" count="1" selected="0">
            <x v="9"/>
          </reference>
        </references>
      </pivotArea>
    </chartFormat>
    <chartFormat chart="1" format="16">
      <pivotArea type="data" outline="0" fieldPosition="0">
        <references count="2">
          <reference field="4294967294" count="1" selected="0">
            <x v="0"/>
          </reference>
          <reference field="41" count="1" selected="0">
            <x v="13"/>
          </reference>
        </references>
      </pivotArea>
    </chartFormat>
    <chartFormat chart="1" format="17">
      <pivotArea type="data" outline="0" fieldPosition="0">
        <references count="2">
          <reference field="4294967294" count="1" selected="0">
            <x v="0"/>
          </reference>
          <reference field="41" count="1" selected="0">
            <x v="14"/>
          </reference>
        </references>
      </pivotArea>
    </chartFormat>
    <chartFormat chart="1" format="18">
      <pivotArea type="data" outline="0" fieldPosition="0">
        <references count="2">
          <reference field="4294967294" count="1" selected="0">
            <x v="0"/>
          </reference>
          <reference field="41" count="1" selected="0">
            <x v="17"/>
          </reference>
        </references>
      </pivotArea>
    </chartFormat>
    <chartFormat chart="1" format="19">
      <pivotArea type="data" outline="0" fieldPosition="0">
        <references count="2">
          <reference field="4294967294" count="1" selected="0">
            <x v="0"/>
          </reference>
          <reference field="41" count="1" selected="0">
            <x v="18"/>
          </reference>
        </references>
      </pivotArea>
    </chartFormat>
    <chartFormat chart="1" format="20">
      <pivotArea type="data" outline="0" fieldPosition="0">
        <references count="2">
          <reference field="4294967294" count="1" selected="0">
            <x v="0"/>
          </reference>
          <reference field="41" count="1" selected="0">
            <x v="19"/>
          </reference>
        </references>
      </pivotArea>
    </chartFormat>
    <chartFormat chart="1" format="22">
      <pivotArea type="data" outline="0" fieldPosition="0">
        <references count="2">
          <reference field="4294967294" count="1" selected="0">
            <x v="0"/>
          </reference>
          <reference field="41" count="1" selected="0">
            <x v="20"/>
          </reference>
        </references>
      </pivotArea>
    </chartFormat>
    <chartFormat chart="1" format="23">
      <pivotArea type="data" outline="0" fieldPosition="0">
        <references count="2">
          <reference field="4294967294" count="1" selected="0">
            <x v="0"/>
          </reference>
          <reference field="41" count="1" selected="0">
            <x v="21"/>
          </reference>
        </references>
      </pivotArea>
    </chartFormat>
    <chartFormat chart="1" format="24">
      <pivotArea type="data" outline="0" fieldPosition="0">
        <references count="2">
          <reference field="4294967294" count="1" selected="0">
            <x v="0"/>
          </reference>
          <reference field="41" count="1" selected="0">
            <x v="22"/>
          </reference>
        </references>
      </pivotArea>
    </chartFormat>
    <chartFormat chart="1" format="25">
      <pivotArea type="data" outline="0" fieldPosition="0">
        <references count="2">
          <reference field="4294967294" count="1" selected="0">
            <x v="0"/>
          </reference>
          <reference field="41" count="1" selected="0">
            <x v="25"/>
          </reference>
        </references>
      </pivotArea>
    </chartFormat>
    <chartFormat chart="1" format="26">
      <pivotArea type="data" outline="0" fieldPosition="0">
        <references count="2">
          <reference field="4294967294" count="1" selected="0">
            <x v="0"/>
          </reference>
          <reference field="41" count="1" selected="0">
            <x v="24"/>
          </reference>
        </references>
      </pivotArea>
    </chartFormat>
    <chartFormat chart="1" format="27">
      <pivotArea type="data" outline="0" fieldPosition="0">
        <references count="2">
          <reference field="4294967294" count="1" selected="0">
            <x v="0"/>
          </reference>
          <reference field="41" count="1" selected="0">
            <x v="23"/>
          </reference>
        </references>
      </pivotArea>
    </chartFormat>
    <chartFormat chart="1" format="28">
      <pivotArea type="data" outline="0" fieldPosition="0">
        <references count="2">
          <reference field="4294967294" count="1" selected="0">
            <x v="0"/>
          </reference>
          <reference field="41" count="1" selected="0">
            <x v="26"/>
          </reference>
        </references>
      </pivotArea>
    </chartFormat>
    <chartFormat chart="1" format="29">
      <pivotArea type="data" outline="0" fieldPosition="0">
        <references count="2">
          <reference field="4294967294" count="1" selected="0">
            <x v="0"/>
          </reference>
          <reference field="41" count="1" selected="0">
            <x v="28"/>
          </reference>
        </references>
      </pivotArea>
    </chartFormat>
    <chartFormat chart="1" format="30">
      <pivotArea type="data" outline="0" fieldPosition="0">
        <references count="2">
          <reference field="4294967294" count="1" selected="0">
            <x v="0"/>
          </reference>
          <reference field="41" count="1" selected="0">
            <x v="29"/>
          </reference>
        </references>
      </pivotArea>
    </chartFormat>
    <chartFormat chart="1" format="31">
      <pivotArea type="data" outline="0" fieldPosition="0">
        <references count="2">
          <reference field="4294967294" count="1" selected="0">
            <x v="0"/>
          </reference>
          <reference field="41" count="1" selected="0">
            <x v="30"/>
          </reference>
        </references>
      </pivotArea>
    </chartFormat>
    <chartFormat chart="1" format="32">
      <pivotArea type="data" outline="0" fieldPosition="0">
        <references count="2">
          <reference field="4294967294" count="1" selected="0">
            <x v="0"/>
          </reference>
          <reference field="41" count="1" selected="0">
            <x v="35"/>
          </reference>
        </references>
      </pivotArea>
    </chartFormat>
    <chartFormat chart="1" format="33">
      <pivotArea type="data" outline="0" fieldPosition="0">
        <references count="2">
          <reference field="4294967294" count="1" selected="0">
            <x v="0"/>
          </reference>
          <reference field="41" count="1" selected="0">
            <x v="37"/>
          </reference>
        </references>
      </pivotArea>
    </chartFormat>
    <chartFormat chart="1" format="34">
      <pivotArea type="data" outline="0" fieldPosition="0">
        <references count="2">
          <reference field="4294967294" count="1" selected="0">
            <x v="0"/>
          </reference>
          <reference field="41" count="1" selected="0">
            <x v="34"/>
          </reference>
        </references>
      </pivotArea>
    </chartFormat>
    <chartFormat chart="1" format="35">
      <pivotArea type="data" outline="0" fieldPosition="0">
        <references count="2">
          <reference field="4294967294" count="1" selected="0">
            <x v="0"/>
          </reference>
          <reference field="41" count="1" selected="0">
            <x v="27"/>
          </reference>
        </references>
      </pivotArea>
    </chartFormat>
    <chartFormat chart="1" format="36">
      <pivotArea type="data" outline="0" fieldPosition="0">
        <references count="2">
          <reference field="4294967294" count="1" selected="0">
            <x v="0"/>
          </reference>
          <reference field="41" count="1" selected="0">
            <x v="36"/>
          </reference>
        </references>
      </pivotArea>
    </chartFormat>
    <chartFormat chart="1" format="37">
      <pivotArea type="data" outline="0" fieldPosition="0">
        <references count="2">
          <reference field="4294967294" count="1" selected="0">
            <x v="0"/>
          </reference>
          <reference field="41" count="1" selected="0">
            <x v="33"/>
          </reference>
        </references>
      </pivotArea>
    </chartFormat>
    <chartFormat chart="1" format="38">
      <pivotArea type="data" outline="0" fieldPosition="0">
        <references count="2">
          <reference field="4294967294" count="1" selected="0">
            <x v="0"/>
          </reference>
          <reference field="41" count="1" selected="0">
            <x v="31"/>
          </reference>
        </references>
      </pivotArea>
    </chartFormat>
    <chartFormat chart="1" format="39">
      <pivotArea type="data" outline="0" fieldPosition="0">
        <references count="2">
          <reference field="4294967294" count="1" selected="0">
            <x v="0"/>
          </reference>
          <reference field="41" count="1" selected="0">
            <x v="32"/>
          </reference>
        </references>
      </pivotArea>
    </chartFormat>
    <chartFormat chart="1" format="40">
      <pivotArea type="data" outline="0" fieldPosition="0">
        <references count="2">
          <reference field="4294967294" count="1" selected="0">
            <x v="0"/>
          </reference>
          <reference field="41" count="1" selected="0">
            <x v="38"/>
          </reference>
        </references>
      </pivotArea>
    </chartFormat>
    <chartFormat chart="1" format="41">
      <pivotArea type="data" outline="0" fieldPosition="0">
        <references count="2">
          <reference field="4294967294" count="1" selected="0">
            <x v="0"/>
          </reference>
          <reference field="41" count="1" selected="0">
            <x v="39"/>
          </reference>
        </references>
      </pivotArea>
    </chartFormat>
    <chartFormat chart="1" format="42">
      <pivotArea type="data" outline="0" fieldPosition="0">
        <references count="2">
          <reference field="4294967294" count="1" selected="0">
            <x v="0"/>
          </reference>
          <reference field="41" count="1" selected="0">
            <x v="40"/>
          </reference>
        </references>
      </pivotArea>
    </chartFormat>
    <chartFormat chart="1" format="43">
      <pivotArea type="data" outline="0" fieldPosition="0">
        <references count="2">
          <reference field="4294967294" count="1" selected="0">
            <x v="0"/>
          </reference>
          <reference field="41"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Tabela dinâmica2"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9">
  <location ref="AR4:AS14" firstHeaderRow="1" firstDataRow="1" firstDataCol="1"/>
  <pivotFields count="44">
    <pivotField axis="axisRow" showAll="0" defaultSubtotal="0">
      <items count="16">
        <item x="0"/>
        <item x="1"/>
        <item x="2"/>
        <item x="3"/>
        <item x="4"/>
        <item x="5"/>
        <item x="6"/>
        <item x="7"/>
        <item x="8"/>
        <item x="9"/>
        <item x="10"/>
        <item m="1" x="15"/>
        <item m="1" x="14"/>
        <item m="1" x="13"/>
        <item m="1" x="11"/>
        <item m="1" x="12"/>
      </items>
    </pivotField>
    <pivotField dataField="1" numFmtId="14" showAll="0"/>
    <pivotField showAll="0" defaultSubtotal="0"/>
    <pivotField showAll="0"/>
    <pivotField showAll="0">
      <items count="16">
        <item m="1" x="8"/>
        <item x="6"/>
        <item x="3"/>
        <item m="1" x="12"/>
        <item x="1"/>
        <item x="0"/>
        <item x="2"/>
        <item x="4"/>
        <item m="1" x="13"/>
        <item m="1" x="10"/>
        <item m="1" x="11"/>
        <item m="1" x="14"/>
        <item m="1" x="9"/>
        <item x="5"/>
        <item m="1" x="7"/>
        <item t="default"/>
      </items>
    </pivotField>
    <pivotField showAll="0"/>
    <pivotField showAll="0" defaultSubtotal="0"/>
    <pivotField showAll="0"/>
    <pivotField showAll="0" defaultSubtotal="0"/>
    <pivotField showAll="0"/>
    <pivotField showAll="0" defaultSubtotal="0">
      <items count="7">
        <item x="2"/>
        <item x="4"/>
        <item x="5"/>
        <item x="3"/>
        <item x="0"/>
        <item x="1"/>
        <item m="1" x="6"/>
      </items>
    </pivotField>
    <pivotField showAll="0"/>
    <pivotField showAll="0"/>
    <pivotField showAll="0" defaultSubtotal="0"/>
    <pivotField numFmtId="14"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items count="47">
        <item h="1" m="1" x="31"/>
        <item h="1" m="1" x="30"/>
        <item h="1" m="1" x="7"/>
        <item h="1" m="1" x="37"/>
        <item h="1" m="1" x="33"/>
        <item h="1" m="1" x="40"/>
        <item h="1" m="1" x="44"/>
        <item h="1" m="1" x="43"/>
        <item h="1" m="1" x="35"/>
        <item h="1" m="1" x="28"/>
        <item h="1" m="1" x="36"/>
        <item h="1" m="1" x="32"/>
        <item h="1" m="1" x="13"/>
        <item h="1" m="1" x="41"/>
        <item h="1" m="1" x="45"/>
        <item h="1" m="1" x="29"/>
        <item h="1" m="1" x="38"/>
        <item h="1" m="1" x="42"/>
        <item h="1" m="1" x="10"/>
        <item h="1" m="1" x="39"/>
        <item h="1" m="1" x="34"/>
        <item h="1" m="1" x="8"/>
        <item h="1" m="1" x="12"/>
        <item h="1" m="1" x="15"/>
        <item h="1" m="1" x="18"/>
        <item h="1" m="1" x="11"/>
        <item h="1" m="1" x="19"/>
        <item h="1" m="1" x="20"/>
        <item h="1" m="1" x="22"/>
        <item h="1" m="1" x="24"/>
        <item h="1" m="1" x="25"/>
        <item h="1" m="1" x="14"/>
        <item h="1" m="1" x="16"/>
        <item h="1" m="1" x="17"/>
        <item h="1" m="1" x="21"/>
        <item h="1" m="1" x="26"/>
        <item h="1" m="1" x="23"/>
        <item h="1" m="1" x="27"/>
        <item x="0"/>
        <item h="1" x="1"/>
        <item h="1" x="3"/>
        <item h="1" m="1" x="9"/>
        <item h="1" m="1" x="5"/>
        <item h="1" m="1" x="6"/>
        <item h="1" x="2"/>
        <item h="1" x="4"/>
        <item t="default"/>
      </items>
    </pivotField>
    <pivotField showAll="0"/>
    <pivotField showAll="0"/>
  </pivotFields>
  <rowFields count="1">
    <field x="0"/>
  </rowFields>
  <rowItems count="10">
    <i>
      <x/>
    </i>
    <i>
      <x v="1"/>
    </i>
    <i>
      <x v="3"/>
    </i>
    <i>
      <x v="4"/>
    </i>
    <i>
      <x v="5"/>
    </i>
    <i>
      <x v="6"/>
    </i>
    <i>
      <x v="7"/>
    </i>
    <i>
      <x v="8"/>
    </i>
    <i>
      <x v="9"/>
    </i>
    <i t="grand">
      <x/>
    </i>
  </rowItems>
  <colItems count="1">
    <i/>
  </colItems>
  <dataFields count="1">
    <dataField name="Contagem de DATA" fld="1" subtotal="count" baseField="0" baseItem="0"/>
  </dataFields>
  <formats count="16">
    <format dxfId="242">
      <pivotArea type="all" dataOnly="0" outline="0" fieldPosition="0"/>
    </format>
    <format dxfId="241">
      <pivotArea type="all" dataOnly="0" outline="0" fieldPosition="0"/>
    </format>
    <format dxfId="240">
      <pivotArea type="all" dataOnly="0" outline="0" fieldPosition="0"/>
    </format>
    <format dxfId="239">
      <pivotArea outline="0" collapsedLevelsAreSubtotals="1" fieldPosition="0"/>
    </format>
    <format dxfId="238">
      <pivotArea type="origin" dataOnly="0" labelOnly="1" outline="0" fieldPosition="0"/>
    </format>
    <format dxfId="237">
      <pivotArea field="41" type="button" dataOnly="0" labelOnly="1" outline="0"/>
    </format>
    <format dxfId="236">
      <pivotArea type="topRight" dataOnly="0" labelOnly="1" outline="0" fieldPosition="0"/>
    </format>
    <format dxfId="235">
      <pivotArea dataOnly="0" labelOnly="1" grandRow="1" outline="0" fieldPosition="0"/>
    </format>
    <format dxfId="234">
      <pivotArea dataOnly="0" labelOnly="1" grandCol="1" outline="0" fieldPosition="0"/>
    </format>
    <format dxfId="233">
      <pivotArea type="all" dataOnly="0" outline="0" fieldPosition="0"/>
    </format>
    <format dxfId="232">
      <pivotArea outline="0" collapsedLevelsAreSubtotals="1" fieldPosition="0"/>
    </format>
    <format dxfId="231">
      <pivotArea type="origin" dataOnly="0" labelOnly="1" outline="0" fieldPosition="0"/>
    </format>
    <format dxfId="230">
      <pivotArea field="41" type="button" dataOnly="0" labelOnly="1" outline="0"/>
    </format>
    <format dxfId="229">
      <pivotArea type="topRight" dataOnly="0" labelOnly="1" outline="0" fieldPosition="0"/>
    </format>
    <format dxfId="228">
      <pivotArea dataOnly="0" labelOnly="1" grandRow="1" outline="0" fieldPosition="0"/>
    </format>
    <format dxfId="227">
      <pivotArea dataOnly="0" labelOnly="1" grandCol="1" outline="0" fieldPosition="0"/>
    </format>
  </formats>
  <chartFormats count="1">
    <chartFormat chart="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Tabela dinâmica3" cacheId="1"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0">
  <location ref="BX4:BY16" firstHeaderRow="1" firstDataRow="1" firstDataCol="1"/>
  <pivotFields count="30">
    <pivotField showAll="0" defaultSubtotal="0">
      <items count="14">
        <item x="0"/>
        <item x="1"/>
        <item x="2"/>
        <item x="3"/>
        <item x="4"/>
        <item x="5"/>
        <item m="1" x="12"/>
        <item m="1" x="10"/>
        <item m="1" x="8"/>
        <item m="1" x="13"/>
        <item m="1" x="11"/>
        <item m="1" x="9"/>
        <item x="6"/>
        <item x="7"/>
      </items>
    </pivotField>
    <pivotField dataField="1" numFmtId="14" showAll="0"/>
    <pivotField showAll="0" defaultSubtotal="0"/>
    <pivotField showAll="0"/>
    <pivotField showAll="0">
      <items count="8">
        <item x="3"/>
        <item x="5"/>
        <item x="2"/>
        <item x="1"/>
        <item x="4"/>
        <item x="0"/>
        <item x="6"/>
        <item t="default"/>
      </items>
    </pivotField>
    <pivotField axis="axisRow" showAll="0" sortType="descending">
      <items count="23">
        <item m="1" x="13"/>
        <item m="1" x="19"/>
        <item m="1" x="16"/>
        <item m="1" x="18"/>
        <item m="1" x="21"/>
        <item m="1" x="20"/>
        <item m="1" x="14"/>
        <item m="1" x="15"/>
        <item m="1" x="17"/>
        <item x="1"/>
        <item x="0"/>
        <item x="2"/>
        <item x="3"/>
        <item x="10"/>
        <item x="4"/>
        <item m="1" x="12"/>
        <item x="5"/>
        <item x="6"/>
        <item m="1" x="11"/>
        <item x="7"/>
        <item x="8"/>
        <item x="9"/>
        <item t="default"/>
      </items>
      <autoSortScope>
        <pivotArea dataOnly="0" outline="0" fieldPosition="0">
          <references count="1">
            <reference field="4294967294" count="1" selected="0">
              <x v="0"/>
            </reference>
          </references>
        </pivotArea>
      </autoSortScope>
    </pivotField>
    <pivotField showAll="0" defaultSubtotal="0"/>
    <pivotField showAll="0"/>
    <pivotField showAll="0"/>
    <pivotField showAll="0" defaultSubtotal="0"/>
    <pivotField showAll="0" defaultSubtotal="0">
      <items count="6">
        <item x="4"/>
        <item x="2"/>
        <item x="1"/>
        <item x="0"/>
        <item x="3"/>
        <item x="5"/>
      </items>
    </pivotField>
    <pivotField showAll="0"/>
    <pivotField showAll="0"/>
    <pivotField numFmtId="14"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s>
  <rowFields count="1">
    <field x="5"/>
  </rowFields>
  <rowItems count="12">
    <i>
      <x v="10"/>
    </i>
    <i>
      <x v="17"/>
    </i>
    <i>
      <x v="21"/>
    </i>
    <i>
      <x v="16"/>
    </i>
    <i>
      <x v="19"/>
    </i>
    <i>
      <x v="11"/>
    </i>
    <i>
      <x v="20"/>
    </i>
    <i>
      <x v="12"/>
    </i>
    <i>
      <x v="9"/>
    </i>
    <i>
      <x v="14"/>
    </i>
    <i>
      <x v="13"/>
    </i>
    <i t="grand">
      <x/>
    </i>
  </rowItems>
  <colItems count="1">
    <i/>
  </colItems>
  <dataFields count="1">
    <dataField name="Contagem de DATA" fld="1" subtotal="count" baseField="0" baseItem="0"/>
  </dataFields>
  <formats count="12">
    <format dxfId="138">
      <pivotArea type="all" dataOnly="0" outline="0" fieldPosition="0"/>
    </format>
    <format dxfId="137">
      <pivotArea outline="0" collapsedLevelsAreSubtotals="1" fieldPosition="0"/>
    </format>
    <format dxfId="136">
      <pivotArea field="5" type="button" dataOnly="0" labelOnly="1" outline="0" axis="axisRow" fieldPosition="0"/>
    </format>
    <format dxfId="135">
      <pivotArea dataOnly="0" labelOnly="1" fieldPosition="0">
        <references count="1">
          <reference field="5" count="0"/>
        </references>
      </pivotArea>
    </format>
    <format dxfId="134">
      <pivotArea dataOnly="0" labelOnly="1" grandRow="1" outline="0"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5" type="button" dataOnly="0" labelOnly="1" outline="0" axis="axisRow" fieldPosition="0"/>
    </format>
    <format dxfId="129">
      <pivotArea dataOnly="0" labelOnly="1" fieldPosition="0">
        <references count="1">
          <reference field="5" count="0"/>
        </references>
      </pivotArea>
    </format>
    <format dxfId="128">
      <pivotArea dataOnly="0" labelOnly="1" grandRow="1" outline="0" fieldPosition="0"/>
    </format>
    <format dxfId="127">
      <pivotArea dataOnly="0" labelOnly="1" outline="0" axis="axisValues" fieldPosition="0"/>
    </format>
  </formats>
  <chartFormats count="2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4">
      <pivotArea type="data" outline="0" fieldPosition="0">
        <references count="2">
          <reference field="4294967294" count="1" selected="0">
            <x v="0"/>
          </reference>
          <reference field="5" count="1" selected="0">
            <x v="1"/>
          </reference>
        </references>
      </pivotArea>
    </chartFormat>
    <chartFormat chart="1" format="5">
      <pivotArea type="data" outline="0" fieldPosition="0">
        <references count="2">
          <reference field="4294967294" count="1" selected="0">
            <x v="0"/>
          </reference>
          <reference field="5" count="1" selected="0">
            <x v="2"/>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5" count="1" selected="0">
            <x v="0"/>
          </reference>
        </references>
      </pivotArea>
    </chartFormat>
    <chartFormat chart="9" format="20">
      <pivotArea type="data" outline="0" fieldPosition="0">
        <references count="2">
          <reference field="4294967294" count="1" selected="0">
            <x v="0"/>
          </reference>
          <reference field="5" count="1" selected="0">
            <x v="2"/>
          </reference>
        </references>
      </pivotArea>
    </chartFormat>
    <chartFormat chart="9" format="21">
      <pivotArea type="data" outline="0" fieldPosition="0">
        <references count="2">
          <reference field="4294967294" count="1" selected="0">
            <x v="0"/>
          </reference>
          <reference field="5" count="1" selected="0">
            <x v="1"/>
          </reference>
        </references>
      </pivotArea>
    </chartFormat>
    <chartFormat chart="9" format="25">
      <pivotArea type="data" outline="0" fieldPosition="0">
        <references count="2">
          <reference field="4294967294" count="1" selected="0">
            <x v="0"/>
          </reference>
          <reference field="5" count="1" selected="0">
            <x v="5"/>
          </reference>
        </references>
      </pivotArea>
    </chartFormat>
    <chartFormat chart="9" format="26">
      <pivotArea type="data" outline="0" fieldPosition="0">
        <references count="2">
          <reference field="4294967294" count="1" selected="0">
            <x v="0"/>
          </reference>
          <reference field="5" count="1" selected="0">
            <x v="4"/>
          </reference>
        </references>
      </pivotArea>
    </chartFormat>
    <chartFormat chart="9" format="27">
      <pivotArea type="data" outline="0" fieldPosition="0">
        <references count="2">
          <reference field="4294967294" count="1" selected="0">
            <x v="0"/>
          </reference>
          <reference field="5" count="1" selected="0">
            <x v="3"/>
          </reference>
        </references>
      </pivotArea>
    </chartFormat>
    <chartFormat chart="9" format="28">
      <pivotArea type="data" outline="0" fieldPosition="0">
        <references count="2">
          <reference field="4294967294" count="1" selected="0">
            <x v="0"/>
          </reference>
          <reference field="5" count="1" selected="0">
            <x v="6"/>
          </reference>
        </references>
      </pivotArea>
    </chartFormat>
    <chartFormat chart="9" format="29">
      <pivotArea type="data" outline="0" fieldPosition="0">
        <references count="2">
          <reference field="4294967294" count="1" selected="0">
            <x v="0"/>
          </reference>
          <reference field="5" count="1" selected="0">
            <x v="7"/>
          </reference>
        </references>
      </pivotArea>
    </chartFormat>
    <chartFormat chart="9" format="30">
      <pivotArea type="data" outline="0" fieldPosition="0">
        <references count="2">
          <reference field="4294967294" count="1" selected="0">
            <x v="0"/>
          </reference>
          <reference field="5" count="1" selected="0">
            <x v="8"/>
          </reference>
        </references>
      </pivotArea>
    </chartFormat>
    <chartFormat chart="9" format="31">
      <pivotArea type="data" outline="0" fieldPosition="0">
        <references count="2">
          <reference field="4294967294" count="1" selected="0">
            <x v="0"/>
          </reference>
          <reference field="5" count="1" selected="0">
            <x v="9"/>
          </reference>
        </references>
      </pivotArea>
    </chartFormat>
    <chartFormat chart="9" format="32">
      <pivotArea type="data" outline="0" fieldPosition="0">
        <references count="2">
          <reference field="4294967294" count="1" selected="0">
            <x v="0"/>
          </reference>
          <reference field="5" count="1" selected="0">
            <x v="10"/>
          </reference>
        </references>
      </pivotArea>
    </chartFormat>
    <chartFormat chart="9" format="33">
      <pivotArea type="data" outline="0" fieldPosition="0">
        <references count="2">
          <reference field="4294967294" count="1" selected="0">
            <x v="0"/>
          </reference>
          <reference field="5" count="1" selected="0">
            <x v="12"/>
          </reference>
        </references>
      </pivotArea>
    </chartFormat>
    <chartFormat chart="9" format="34">
      <pivotArea type="data" outline="0" fieldPosition="0">
        <references count="2">
          <reference field="4294967294" count="1" selected="0">
            <x v="0"/>
          </reference>
          <reference field="5" count="1" selected="0">
            <x v="11"/>
          </reference>
        </references>
      </pivotArea>
    </chartFormat>
    <chartFormat chart="9" format="35">
      <pivotArea type="data" outline="0" fieldPosition="0">
        <references count="2">
          <reference field="4294967294" count="1" selected="0">
            <x v="0"/>
          </reference>
          <reference field="5" count="1" selected="0">
            <x v="13"/>
          </reference>
        </references>
      </pivotArea>
    </chartFormat>
    <chartFormat chart="9" format="36">
      <pivotArea type="data" outline="0" fieldPosition="0">
        <references count="2">
          <reference field="4294967294" count="1" selected="0">
            <x v="0"/>
          </reference>
          <reference field="5" count="1" selected="0">
            <x v="14"/>
          </reference>
        </references>
      </pivotArea>
    </chartFormat>
    <chartFormat chart="9" format="37">
      <pivotArea type="data" outline="0" fieldPosition="0">
        <references count="2">
          <reference field="4294967294" count="1" selected="0">
            <x v="0"/>
          </reference>
          <reference field="5" count="1" selected="0">
            <x v="15"/>
          </reference>
        </references>
      </pivotArea>
    </chartFormat>
    <chartFormat chart="9" format="38">
      <pivotArea type="data" outline="0" fieldPosition="0">
        <references count="2">
          <reference field="4294967294" count="1" selected="0">
            <x v="0"/>
          </reference>
          <reference field="5" count="1" selected="0">
            <x v="17"/>
          </reference>
        </references>
      </pivotArea>
    </chartFormat>
    <chartFormat chart="9" format="39">
      <pivotArea type="data" outline="0" fieldPosition="0">
        <references count="2">
          <reference field="4294967294" count="1" selected="0">
            <x v="0"/>
          </reference>
          <reference field="5" count="1" selected="0">
            <x v="16"/>
          </reference>
        </references>
      </pivotArea>
    </chartFormat>
    <chartFormat chart="9" format="40">
      <pivotArea type="data" outline="0" fieldPosition="0">
        <references count="2">
          <reference field="4294967294" count="1" selected="0">
            <x v="0"/>
          </reference>
          <reference field="5" count="1" selected="0">
            <x v="18"/>
          </reference>
        </references>
      </pivotArea>
    </chartFormat>
    <chartFormat chart="9" format="41">
      <pivotArea type="data" outline="0" fieldPosition="0">
        <references count="2">
          <reference field="4294967294" count="1" selected="0">
            <x v="0"/>
          </reference>
          <reference field="5" count="1" selected="0">
            <x v="19"/>
          </reference>
        </references>
      </pivotArea>
    </chartFormat>
    <chartFormat chart="9" format="42">
      <pivotArea type="data" outline="0" fieldPosition="0">
        <references count="2">
          <reference field="4294967294" count="1" selected="0">
            <x v="0"/>
          </reference>
          <reference field="5" count="1" selected="0">
            <x v="20"/>
          </reference>
        </references>
      </pivotArea>
    </chartFormat>
    <chartFormat chart="9" format="44">
      <pivotArea type="data" outline="0" fieldPosition="0">
        <references count="2">
          <reference field="4294967294" count="1" selected="0">
            <x v="0"/>
          </reference>
          <reference field="5"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Tabela dinâmica4" cacheId="1"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3">
  <location ref="CB4:CC11" firstHeaderRow="1" firstDataRow="1" firstDataCol="1"/>
  <pivotFields count="30">
    <pivotField showAll="0" defaultSubtotal="0">
      <items count="14">
        <item x="0"/>
        <item x="1"/>
        <item x="2"/>
        <item x="3"/>
        <item x="4"/>
        <item x="5"/>
        <item m="1" x="12"/>
        <item m="1" x="10"/>
        <item m="1" x="8"/>
        <item m="1" x="13"/>
        <item m="1" x="11"/>
        <item m="1" x="9"/>
        <item x="6"/>
        <item x="7"/>
      </items>
    </pivotField>
    <pivotField dataField="1" numFmtId="14" showAll="0"/>
    <pivotField showAll="0" defaultSubtotal="0"/>
    <pivotField showAll="0"/>
    <pivotField showAll="0">
      <items count="8">
        <item x="3"/>
        <item x="5"/>
        <item x="2"/>
        <item x="1"/>
        <item x="4"/>
        <item x="0"/>
        <item x="6"/>
        <item t="default"/>
      </items>
    </pivotField>
    <pivotField showAll="0" sortType="descending">
      <items count="23">
        <item m="1" x="13"/>
        <item m="1" x="19"/>
        <item m="1" x="16"/>
        <item m="1" x="18"/>
        <item m="1" x="21"/>
        <item m="1" x="20"/>
        <item m="1" x="14"/>
        <item m="1" x="15"/>
        <item m="1" x="17"/>
        <item x="1"/>
        <item x="0"/>
        <item x="2"/>
        <item x="3"/>
        <item x="10"/>
        <item x="4"/>
        <item m="1" x="12"/>
        <item x="5"/>
        <item x="6"/>
        <item m="1" x="11"/>
        <item x="7"/>
        <item x="8"/>
        <item x="9"/>
        <item t="default"/>
      </items>
      <autoSortScope>
        <pivotArea dataOnly="0" outline="0" fieldPosition="0">
          <references count="1">
            <reference field="4294967294" count="1" selected="0">
              <x v="0"/>
            </reference>
          </references>
        </pivotArea>
      </autoSortScope>
    </pivotField>
    <pivotField showAll="0" defaultSubtotal="0"/>
    <pivotField showAll="0"/>
    <pivotField showAll="0"/>
    <pivotField showAll="0" defaultSubtotal="0"/>
    <pivotField axis="axisRow" showAll="0" defaultSubtotal="0">
      <items count="6">
        <item x="4"/>
        <item x="2"/>
        <item x="1"/>
        <item x="0"/>
        <item x="3"/>
        <item x="5"/>
      </items>
    </pivotField>
    <pivotField showAll="0"/>
    <pivotField showAll="0"/>
    <pivotField numFmtId="14"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s>
  <rowFields count="1">
    <field x="10"/>
  </rowFields>
  <rowItems count="7">
    <i>
      <x/>
    </i>
    <i>
      <x v="1"/>
    </i>
    <i>
      <x v="2"/>
    </i>
    <i>
      <x v="3"/>
    </i>
    <i>
      <x v="4"/>
    </i>
    <i>
      <x v="5"/>
    </i>
    <i t="grand">
      <x/>
    </i>
  </rowItems>
  <colItems count="1">
    <i/>
  </colItems>
  <dataFields count="1">
    <dataField name="Contagem de DATA" fld="1" subtotal="count" baseField="0" baseItem="0"/>
  </dataFields>
  <formats count="10">
    <format dxfId="148">
      <pivotArea type="all" dataOnly="0" outline="0" fieldPosition="0"/>
    </format>
    <format dxfId="147">
      <pivotArea outline="0" collapsedLevelsAreSubtotals="1" fieldPosition="0"/>
    </format>
    <format dxfId="146">
      <pivotArea field="5" type="button" dataOnly="0" labelOnly="1" outline="0"/>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5" type="button" dataOnly="0" labelOnly="1" outline="0"/>
    </format>
    <format dxfId="140">
      <pivotArea dataOnly="0" labelOnly="1" grandRow="1" outline="0" fieldPosition="0"/>
    </format>
    <format dxfId="139">
      <pivotArea dataOnly="0" labelOnly="1" outline="0" axis="axisValues" fieldPosition="0"/>
    </format>
  </formats>
  <chartFormats count="14">
    <chartFormat chart="3" format="0" series="1">
      <pivotArea type="data" outline="0" fieldPosition="0">
        <references count="1">
          <reference field="4294967294" count="1" selected="0">
            <x v="0"/>
          </reference>
        </references>
      </pivotArea>
    </chartFormat>
    <chartFormat chart="3" format="6">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 chart="3" format="9">
      <pivotArea type="data" outline="0" fieldPosition="0">
        <references count="2">
          <reference field="4294967294" count="1" selected="0">
            <x v="0"/>
          </reference>
          <reference field="10" count="1" selected="0">
            <x v="2"/>
          </reference>
        </references>
      </pivotArea>
    </chartFormat>
    <chartFormat chart="3" format="10">
      <pivotArea type="data" outline="0" fieldPosition="0">
        <references count="2">
          <reference field="4294967294" count="1" selected="0">
            <x v="0"/>
          </reference>
          <reference field="10" count="1" selected="0">
            <x v="3"/>
          </reference>
        </references>
      </pivotArea>
    </chartFormat>
    <chartFormat chart="3" format="11">
      <pivotArea type="data" outline="0" fieldPosition="0">
        <references count="2">
          <reference field="4294967294" count="1" selected="0">
            <x v="0"/>
          </reference>
          <reference field="10" count="1" selected="0">
            <x v="4"/>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0" count="1" selected="0">
            <x v="0"/>
          </reference>
        </references>
      </pivotArea>
    </chartFormat>
    <chartFormat chart="12" format="14">
      <pivotArea type="data" outline="0" fieldPosition="0">
        <references count="2">
          <reference field="4294967294" count="1" selected="0">
            <x v="0"/>
          </reference>
          <reference field="10" count="1" selected="0">
            <x v="1"/>
          </reference>
        </references>
      </pivotArea>
    </chartFormat>
    <chartFormat chart="12" format="15">
      <pivotArea type="data" outline="0" fieldPosition="0">
        <references count="2">
          <reference field="4294967294" count="1" selected="0">
            <x v="0"/>
          </reference>
          <reference field="10" count="1" selected="0">
            <x v="2"/>
          </reference>
        </references>
      </pivotArea>
    </chartFormat>
    <chartFormat chart="12" format="16">
      <pivotArea type="data" outline="0" fieldPosition="0">
        <references count="2">
          <reference field="4294967294" count="1" selected="0">
            <x v="0"/>
          </reference>
          <reference field="10" count="1" selected="0">
            <x v="3"/>
          </reference>
        </references>
      </pivotArea>
    </chartFormat>
    <chartFormat chart="12" format="17">
      <pivotArea type="data" outline="0" fieldPosition="0">
        <references count="2">
          <reference field="4294967294" count="1" selected="0">
            <x v="0"/>
          </reference>
          <reference field="10" count="1" selected="0">
            <x v="4"/>
          </reference>
        </references>
      </pivotArea>
    </chartFormat>
    <chartFormat chart="12" format="18">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Tabela dinâmica5" cacheId="1"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3">
  <location ref="CF4:CG12" firstHeaderRow="1" firstDataRow="1" firstDataCol="1"/>
  <pivotFields count="30">
    <pivotField showAll="0" defaultSubtotal="0">
      <items count="14">
        <item x="0"/>
        <item x="1"/>
        <item x="2"/>
        <item x="3"/>
        <item x="4"/>
        <item x="5"/>
        <item m="1" x="12"/>
        <item m="1" x="10"/>
        <item m="1" x="8"/>
        <item m="1" x="13"/>
        <item m="1" x="11"/>
        <item m="1" x="9"/>
        <item x="6"/>
        <item x="7"/>
      </items>
    </pivotField>
    <pivotField dataField="1" numFmtId="14" showAll="0"/>
    <pivotField showAll="0" defaultSubtotal="0"/>
    <pivotField showAll="0"/>
    <pivotField axis="axisRow" showAll="0" sortType="descending">
      <items count="8">
        <item x="2"/>
        <item x="1"/>
        <item x="0"/>
        <item x="3"/>
        <item x="6"/>
        <item x="4"/>
        <item x="5"/>
        <item t="default"/>
      </items>
      <autoSortScope>
        <pivotArea dataOnly="0" outline="0" fieldPosition="0">
          <references count="1">
            <reference field="4294967294" count="1" selected="0">
              <x v="0"/>
            </reference>
          </references>
        </pivotArea>
      </autoSortScope>
    </pivotField>
    <pivotField showAll="0" sortType="descending">
      <items count="23">
        <item m="1" x="13"/>
        <item m="1" x="19"/>
        <item m="1" x="16"/>
        <item m="1" x="18"/>
        <item m="1" x="21"/>
        <item m="1" x="20"/>
        <item m="1" x="14"/>
        <item m="1" x="15"/>
        <item m="1" x="17"/>
        <item x="1"/>
        <item x="0"/>
        <item x="2"/>
        <item x="3"/>
        <item x="10"/>
        <item x="4"/>
        <item m="1" x="12"/>
        <item x="5"/>
        <item x="6"/>
        <item m="1" x="11"/>
        <item x="7"/>
        <item x="8"/>
        <item x="9"/>
        <item t="default"/>
      </items>
      <autoSortScope>
        <pivotArea dataOnly="0" outline="0" fieldPosition="0">
          <references count="1">
            <reference field="4294967294" count="1" selected="0">
              <x v="0"/>
            </reference>
          </references>
        </pivotArea>
      </autoSortScope>
    </pivotField>
    <pivotField showAll="0" defaultSubtotal="0"/>
    <pivotField showAll="0" sortType="descending">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6">
        <item x="4"/>
        <item x="2"/>
        <item x="1"/>
        <item x="0"/>
        <item x="3"/>
        <item x="5"/>
      </items>
    </pivotField>
    <pivotField showAll="0"/>
    <pivotField showAll="0"/>
    <pivotField numFmtId="14"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s>
  <rowFields count="1">
    <field x="4"/>
  </rowFields>
  <rowItems count="8">
    <i>
      <x v="2"/>
    </i>
    <i>
      <x v="1"/>
    </i>
    <i>
      <x/>
    </i>
    <i>
      <x v="5"/>
    </i>
    <i>
      <x v="6"/>
    </i>
    <i>
      <x v="3"/>
    </i>
    <i>
      <x v="4"/>
    </i>
    <i t="grand">
      <x/>
    </i>
  </rowItems>
  <colItems count="1">
    <i/>
  </colItems>
  <dataFields count="1">
    <dataField name="Contagem de DATA" fld="1" subtotal="count" baseField="0" baseItem="0"/>
  </dataFields>
  <formats count="10">
    <format dxfId="158">
      <pivotArea type="all" dataOnly="0" outline="0" fieldPosition="0"/>
    </format>
    <format dxfId="157">
      <pivotArea outline="0" collapsedLevelsAreSubtotals="1" fieldPosition="0"/>
    </format>
    <format dxfId="156">
      <pivotArea field="5" type="button" dataOnly="0" labelOnly="1" outline="0"/>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field="5" type="button" dataOnly="0" labelOnly="1" outline="0"/>
    </format>
    <format dxfId="150">
      <pivotArea dataOnly="0" labelOnly="1" grandRow="1" outline="0" fieldPosition="0"/>
    </format>
    <format dxfId="149">
      <pivotArea dataOnly="0" labelOnly="1" outline="0" axis="axisValues" fieldPosition="0"/>
    </format>
  </formats>
  <chartFormats count="14">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4" count="1" selected="0">
            <x v="2"/>
          </reference>
        </references>
      </pivotArea>
    </chartFormat>
    <chartFormat chart="4" format="15">
      <pivotArea type="data" outline="0" fieldPosition="0">
        <references count="2">
          <reference field="4294967294" count="1" selected="0">
            <x v="0"/>
          </reference>
          <reference field="4" count="1" selected="0">
            <x v="1"/>
          </reference>
        </references>
      </pivotArea>
    </chartFormat>
    <chartFormat chart="4" format="16">
      <pivotArea type="data" outline="0" fieldPosition="0">
        <references count="2">
          <reference field="4294967294" count="1" selected="0">
            <x v="0"/>
          </reference>
          <reference field="4" count="1" selected="0">
            <x v="0"/>
          </reference>
        </references>
      </pivotArea>
    </chartFormat>
    <chartFormat chart="4" format="17">
      <pivotArea type="data" outline="0" fieldPosition="0">
        <references count="2">
          <reference field="4294967294" count="1" selected="0">
            <x v="0"/>
          </reference>
          <reference field="4" count="1" selected="0">
            <x v="3"/>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4" count="1" selected="0">
            <x v="1"/>
          </reference>
        </references>
      </pivotArea>
    </chartFormat>
    <chartFormat chart="12" format="20">
      <pivotArea type="data" outline="0" fieldPosition="0">
        <references count="2">
          <reference field="4294967294" count="1" selected="0">
            <x v="0"/>
          </reference>
          <reference field="4" count="1" selected="0">
            <x v="2"/>
          </reference>
        </references>
      </pivotArea>
    </chartFormat>
    <chartFormat chart="12" format="21">
      <pivotArea type="data" outline="0" fieldPosition="0">
        <references count="2">
          <reference field="4294967294" count="1" selected="0">
            <x v="0"/>
          </reference>
          <reference field="4" count="1" selected="0">
            <x v="3"/>
          </reference>
        </references>
      </pivotArea>
    </chartFormat>
    <chartFormat chart="12" format="22">
      <pivotArea type="data" outline="0" fieldPosition="0">
        <references count="2">
          <reference field="4294967294" count="1" selected="0">
            <x v="0"/>
          </reference>
          <reference field="4" count="1" selected="0">
            <x v="0"/>
          </reference>
        </references>
      </pivotArea>
    </chartFormat>
    <chartFormat chart="12" format="23">
      <pivotArea type="data" outline="0" fieldPosition="0">
        <references count="2">
          <reference field="4294967294" count="1" selected="0">
            <x v="0"/>
          </reference>
          <reference field="4" count="1" selected="0">
            <x v="4"/>
          </reference>
        </references>
      </pivotArea>
    </chartFormat>
    <chartFormat chart="12" format="24">
      <pivotArea type="data" outline="0" fieldPosition="0">
        <references count="2">
          <reference field="4294967294" count="1" selected="0">
            <x v="0"/>
          </reference>
          <reference field="4" count="1" selected="0">
            <x v="5"/>
          </reference>
        </references>
      </pivotArea>
    </chartFormat>
    <chartFormat chart="12" format="25">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Tabela dinâmica6" cacheId="1"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5">
  <location ref="CJ4:CK31" firstHeaderRow="1" firstDataRow="1" firstDataCol="1"/>
  <pivotFields count="30">
    <pivotField showAll="0" defaultSubtotal="0">
      <items count="14">
        <item x="0"/>
        <item x="1"/>
        <item x="2"/>
        <item x="3"/>
        <item x="4"/>
        <item x="5"/>
        <item m="1" x="12"/>
        <item m="1" x="10"/>
        <item m="1" x="8"/>
        <item m="1" x="13"/>
        <item m="1" x="11"/>
        <item m="1" x="9"/>
        <item x="6"/>
        <item x="7"/>
      </items>
    </pivotField>
    <pivotField dataField="1" numFmtId="14" showAll="0"/>
    <pivotField showAll="0" defaultSubtotal="0"/>
    <pivotField axis="axisRow" showAll="0" sortType="descending">
      <items count="64">
        <item m="1" x="47"/>
        <item m="1" x="54"/>
        <item m="1" x="49"/>
        <item m="1" x="60"/>
        <item m="1" x="43"/>
        <item m="1" x="57"/>
        <item m="1" x="41"/>
        <item m="1" x="48"/>
        <item m="1" x="40"/>
        <item m="1" x="61"/>
        <item m="1" x="55"/>
        <item m="1" x="44"/>
        <item m="1" x="29"/>
        <item m="1" x="27"/>
        <item m="1" x="45"/>
        <item m="1" x="59"/>
        <item m="1" x="36"/>
        <item m="1" x="28"/>
        <item m="1" x="56"/>
        <item m="1" x="38"/>
        <item m="1" x="33"/>
        <item m="1" x="51"/>
        <item m="1" x="31"/>
        <item m="1" x="35"/>
        <item m="1" x="46"/>
        <item m="1" x="42"/>
        <item m="1" x="53"/>
        <item m="1" x="30"/>
        <item x="6"/>
        <item m="1" x="52"/>
        <item m="1" x="39"/>
        <item m="1" x="58"/>
        <item m="1" x="32"/>
        <item m="1" x="62"/>
        <item m="1" x="50"/>
        <item m="1" x="34"/>
        <item m="1" x="37"/>
        <item x="0"/>
        <item x="1"/>
        <item x="2"/>
        <item x="3"/>
        <item x="4"/>
        <item x="5"/>
        <item x="7"/>
        <item x="8"/>
        <item x="25"/>
        <item x="9"/>
        <item x="10"/>
        <item x="11"/>
        <item x="12"/>
        <item x="13"/>
        <item x="14"/>
        <item x="15"/>
        <item m="1" x="26"/>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howAll="0">
      <items count="8">
        <item x="3"/>
        <item x="5"/>
        <item x="2"/>
        <item x="1"/>
        <item x="4"/>
        <item x="0"/>
        <item x="6"/>
        <item t="default"/>
      </items>
    </pivotField>
    <pivotField showAll="0" sortType="descending">
      <items count="23">
        <item m="1" x="13"/>
        <item m="1" x="19"/>
        <item m="1" x="16"/>
        <item m="1" x="18"/>
        <item m="1" x="21"/>
        <item m="1" x="20"/>
        <item m="1" x="14"/>
        <item m="1" x="15"/>
        <item m="1" x="17"/>
        <item x="1"/>
        <item x="0"/>
        <item x="2"/>
        <item x="3"/>
        <item x="10"/>
        <item x="4"/>
        <item m="1" x="12"/>
        <item x="5"/>
        <item x="6"/>
        <item m="1" x="11"/>
        <item x="7"/>
        <item x="8"/>
        <item x="9"/>
        <item t="default"/>
      </items>
      <autoSortScope>
        <pivotArea dataOnly="0" outline="0" fieldPosition="0">
          <references count="1">
            <reference field="4294967294" count="1" selected="0">
              <x v="0"/>
            </reference>
          </references>
        </pivotArea>
      </autoSortScope>
    </pivotField>
    <pivotField showAll="0" defaultSubtotal="0"/>
    <pivotField showAll="0" sortType="descending">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6">
        <item x="4"/>
        <item x="2"/>
        <item x="1"/>
        <item x="0"/>
        <item x="3"/>
        <item x="5"/>
      </items>
    </pivotField>
    <pivotField showAll="0"/>
    <pivotField showAll="0"/>
    <pivotField numFmtId="14"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s>
  <rowFields count="1">
    <field x="3"/>
  </rowFields>
  <rowItems count="27">
    <i>
      <x v="61"/>
    </i>
    <i>
      <x v="43"/>
    </i>
    <i>
      <x v="57"/>
    </i>
    <i>
      <x v="50"/>
    </i>
    <i>
      <x v="37"/>
    </i>
    <i>
      <x v="39"/>
    </i>
    <i>
      <x v="52"/>
    </i>
    <i>
      <x v="40"/>
    </i>
    <i>
      <x v="59"/>
    </i>
    <i>
      <x v="41"/>
    </i>
    <i>
      <x v="49"/>
    </i>
    <i>
      <x v="42"/>
    </i>
    <i>
      <x v="51"/>
    </i>
    <i>
      <x v="54"/>
    </i>
    <i>
      <x v="38"/>
    </i>
    <i>
      <x v="55"/>
    </i>
    <i>
      <x v="56"/>
    </i>
    <i>
      <x v="44"/>
    </i>
    <i>
      <x v="58"/>
    </i>
    <i>
      <x v="46"/>
    </i>
    <i>
      <x v="60"/>
    </i>
    <i>
      <x v="47"/>
    </i>
    <i>
      <x v="62"/>
    </i>
    <i>
      <x v="28"/>
    </i>
    <i>
      <x v="48"/>
    </i>
    <i>
      <x v="45"/>
    </i>
    <i t="grand">
      <x/>
    </i>
  </rowItems>
  <colItems count="1">
    <i/>
  </colItems>
  <dataFields count="1">
    <dataField name="Contagem de DATA" fld="1" subtotal="count" baseField="0" baseItem="0"/>
  </dataFields>
  <formats count="10">
    <format dxfId="168">
      <pivotArea type="all" dataOnly="0" outline="0" fieldPosition="0"/>
    </format>
    <format dxfId="167">
      <pivotArea outline="0" collapsedLevelsAreSubtotals="1" fieldPosition="0"/>
    </format>
    <format dxfId="166">
      <pivotArea field="5" type="button" dataOnly="0" labelOnly="1" outline="0"/>
    </format>
    <format dxfId="165">
      <pivotArea dataOnly="0" labelOnly="1" grandRow="1" outline="0" fieldPosition="0"/>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field="5" type="button" dataOnly="0" labelOnly="1" outline="0"/>
    </format>
    <format dxfId="160">
      <pivotArea dataOnly="0" labelOnly="1" grandRow="1" outline="0" fieldPosition="0"/>
    </format>
    <format dxfId="159">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Tabela dinâmica2" cacheId="1"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20">
  <location ref="AS4:AT13" firstHeaderRow="1" firstDataRow="1" firstDataCol="1"/>
  <pivotFields count="30">
    <pivotField axis="axisRow" showAll="0" defaultSubtotal="0">
      <items count="14">
        <item x="1"/>
        <item x="2"/>
        <item x="3"/>
        <item x="4"/>
        <item x="5"/>
        <item m="1" x="12"/>
        <item m="1" x="10"/>
        <item m="1" x="8"/>
        <item m="1" x="13"/>
        <item m="1" x="11"/>
        <item m="1" x="9"/>
        <item x="0"/>
        <item x="6"/>
        <item x="7"/>
      </items>
    </pivotField>
    <pivotField dataField="1" numFmtId="14" showAll="0"/>
    <pivotField showAll="0" defaultSubtotal="0"/>
    <pivotField showAll="0"/>
    <pivotField showAll="0">
      <items count="8">
        <item x="3"/>
        <item x="5"/>
        <item x="2"/>
        <item x="1"/>
        <item x="4"/>
        <item x="0"/>
        <item x="6"/>
        <item t="default"/>
      </items>
    </pivotField>
    <pivotField showAll="0">
      <items count="23">
        <item m="1" x="13"/>
        <item m="1" x="19"/>
        <item m="1" x="16"/>
        <item m="1" x="18"/>
        <item m="1" x="21"/>
        <item m="1" x="20"/>
        <item m="1" x="14"/>
        <item m="1" x="15"/>
        <item m="1" x="17"/>
        <item x="1"/>
        <item x="0"/>
        <item x="2"/>
        <item x="3"/>
        <item x="10"/>
        <item x="4"/>
        <item m="1" x="12"/>
        <item x="5"/>
        <item x="6"/>
        <item m="1" x="11"/>
        <item x="7"/>
        <item x="8"/>
        <item x="9"/>
        <item t="default"/>
      </items>
    </pivotField>
    <pivotField showAll="0" defaultSubtotal="0"/>
    <pivotField showAll="0"/>
    <pivotField showAll="0"/>
    <pivotField showAll="0" defaultSubtotal="0"/>
    <pivotField showAll="0" defaultSubtotal="0">
      <items count="6">
        <item x="4"/>
        <item x="2"/>
        <item x="1"/>
        <item x="0"/>
        <item x="3"/>
        <item x="5"/>
      </items>
    </pivotField>
    <pivotField showAll="0"/>
    <pivotField showAll="0"/>
    <pivotField numFmtId="14"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s>
  <rowFields count="1">
    <field x="0"/>
  </rowFields>
  <rowItems count="9">
    <i>
      <x/>
    </i>
    <i>
      <x v="1"/>
    </i>
    <i>
      <x v="2"/>
    </i>
    <i>
      <x v="3"/>
    </i>
    <i>
      <x v="4"/>
    </i>
    <i>
      <x v="11"/>
    </i>
    <i>
      <x v="12"/>
    </i>
    <i>
      <x v="13"/>
    </i>
    <i t="grand">
      <x/>
    </i>
  </rowItems>
  <colItems count="1">
    <i/>
  </colItems>
  <dataFields count="1">
    <dataField name="Contagem de DATA" fld="1" subtotal="count" baseField="0" baseItem="0"/>
  </dataFields>
  <formats count="16">
    <format dxfId="184">
      <pivotArea type="all" dataOnly="0" outline="0" fieldPosition="0"/>
    </format>
    <format dxfId="183">
      <pivotArea type="all" dataOnly="0" outline="0" fieldPosition="0"/>
    </format>
    <format dxfId="182">
      <pivotArea type="all" dataOnly="0" outline="0" fieldPosition="0"/>
    </format>
    <format dxfId="181">
      <pivotArea outline="0" collapsedLevelsAreSubtotals="1" fieldPosition="0"/>
    </format>
    <format dxfId="180">
      <pivotArea type="origin" dataOnly="0" labelOnly="1" outline="0" fieldPosition="0"/>
    </format>
    <format dxfId="179">
      <pivotArea field="5" type="button" dataOnly="0" labelOnly="1" outline="0"/>
    </format>
    <format dxfId="178">
      <pivotArea type="topRight" dataOnly="0" labelOnly="1" outline="0" fieldPosition="0"/>
    </format>
    <format dxfId="177">
      <pivotArea dataOnly="0" labelOnly="1" grandRow="1" outline="0" fieldPosition="0"/>
    </format>
    <format dxfId="176">
      <pivotArea dataOnly="0" labelOnly="1" grandCol="1" outline="0" fieldPosition="0"/>
    </format>
    <format dxfId="175">
      <pivotArea type="all" dataOnly="0" outline="0" fieldPosition="0"/>
    </format>
    <format dxfId="174">
      <pivotArea outline="0" collapsedLevelsAreSubtotals="1" fieldPosition="0"/>
    </format>
    <format dxfId="173">
      <pivotArea type="origin" dataOnly="0" labelOnly="1" outline="0" fieldPosition="0"/>
    </format>
    <format dxfId="172">
      <pivotArea field="5" type="button" dataOnly="0" labelOnly="1" outline="0"/>
    </format>
    <format dxfId="171">
      <pivotArea type="topRight" dataOnly="0" labelOnly="1" outline="0" fieldPosition="0"/>
    </format>
    <format dxfId="170">
      <pivotArea dataOnly="0" labelOnly="1" grandRow="1" outline="0" fieldPosition="0"/>
    </format>
    <format dxfId="169">
      <pivotArea dataOnly="0" labelOnly="1" grandCol="1" outline="0" fieldPosition="0"/>
    </format>
  </formats>
  <chartFormats count="2">
    <chartFormat chart="1" format="10" series="1">
      <pivotArea type="data" outline="0" fieldPosition="0">
        <references count="1">
          <reference field="4294967294" count="1" selected="0">
            <x v="0"/>
          </reference>
        </references>
      </pivotArea>
    </chartFormat>
    <chartFormat chart="19"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PROCESSO" xr10:uid="{00000000-0013-0000-FFFF-FFFF01000000}" sourceName="PROCESSO">
  <pivotTables>
    <pivotTable tabId="2" name="Tabela dinâmica3"/>
    <pivotTable tabId="2" name="Tabela dinâmica4"/>
    <pivotTable tabId="2" name="Tabela dinâmica5"/>
    <pivotTable tabId="2" name="Tabela dinâmica6"/>
    <pivotTable tabId="2" name="Tabela dinâmica2"/>
  </pivotTables>
  <data>
    <tabular pivotCacheId="1301943324" showMissing="0">
      <items count="15">
        <i x="3" s="1"/>
        <i x="1" s="1"/>
        <i x="0" s="1"/>
        <i x="2" s="1"/>
        <i x="6" s="1" nd="1"/>
        <i x="4" s="1" nd="1"/>
        <i x="5" s="1" nd="1"/>
        <i x="8" s="1" nd="1"/>
        <i x="12" s="1" nd="1"/>
        <i x="13" s="1" nd="1"/>
        <i x="10" s="1" nd="1"/>
        <i x="11" s="1" nd="1"/>
        <i x="14" s="1" nd="1"/>
        <i x="9"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IPO" xr10:uid="{00000000-0013-0000-FFFF-FFFF02000000}" sourceName="TIPO">
  <pivotTables>
    <pivotTable tabId="2" name="Tabela dinâmica3"/>
    <pivotTable tabId="2" name="Tabela dinâmica4"/>
    <pivotTable tabId="2" name="Tabela dinâmica5"/>
    <pivotTable tabId="2" name="Tabela dinâmica6"/>
    <pivotTable tabId="2" name="Tabela dinâmica2"/>
  </pivotTables>
  <data>
    <tabular pivotCacheId="1301943324">
      <items count="46">
        <i x="3"/>
        <i x="1"/>
        <i x="4"/>
        <i x="2"/>
        <i x="0" s="1"/>
        <i x="9" nd="1"/>
        <i x="20" nd="1"/>
        <i x="29" nd="1"/>
        <i x="18" nd="1"/>
        <i x="39" nd="1"/>
        <i x="14" nd="1"/>
        <i x="31" nd="1"/>
        <i x="22" nd="1"/>
        <i x="38" nd="1"/>
        <i x="42" nd="1"/>
        <i x="32" nd="1"/>
        <i x="43" nd="1"/>
        <i x="13" nd="1"/>
        <i x="16" nd="1"/>
        <i x="26" nd="1"/>
        <i x="11" nd="1"/>
        <i x="27" nd="1"/>
        <i x="21" nd="1"/>
        <i x="40" nd="1"/>
        <i x="19" nd="1"/>
        <i x="30" nd="1"/>
        <i x="36" nd="1"/>
        <i x="17" nd="1"/>
        <i x="35" nd="1"/>
        <i x="15" nd="1"/>
        <i x="34" nd="1"/>
        <i x="6" nd="1"/>
        <i x="28" nd="1"/>
        <i x="25" nd="1"/>
        <i x="41" nd="1"/>
        <i x="44" nd="1"/>
        <i x="33" nd="1"/>
        <i x="45" nd="1"/>
        <i x="37" nd="1"/>
        <i x="5" nd="1"/>
        <i x="23" nd="1"/>
        <i x="12" nd="1"/>
        <i x="10" nd="1"/>
        <i x="24" nd="1"/>
        <i x="7" nd="1"/>
        <i x="8"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BASE" xr10:uid="{00000000-0013-0000-FFFF-FFFF03000000}" sourceName="BASE">
  <pivotTables>
    <pivotTable tabId="2" name="Tabela dinâmica2"/>
    <pivotTable tabId="2" name="Tabela dinâmica3"/>
    <pivotTable tabId="2" name="Tabela dinâmica4"/>
    <pivotTable tabId="2" name="Tabela dinâmica5"/>
    <pivotTable tabId="2" name="Tabela dinâmica6"/>
  </pivotTables>
  <data>
    <tabular pivotCacheId="1301943324">
      <items count="7">
        <i x="2" s="1"/>
        <i x="4" s="1"/>
        <i x="5" s="1"/>
        <i x="3" s="1"/>
        <i x="0" s="1"/>
        <i x="1"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PROCESSO1" xr10:uid="{00000000-0013-0000-FFFF-FFFF04000000}" sourceName="PROCESSO">
  <pivotTables>
    <pivotTable tabId="8" name="Tabela dinâmica2"/>
    <pivotTable tabId="8" name="Tabela dinâmica3"/>
    <pivotTable tabId="8" name="Tabela dinâmica4"/>
    <pivotTable tabId="8" name="Tabela dinâmica5"/>
    <pivotTable tabId="8" name="Tabela dinâmica6"/>
  </pivotTables>
  <data>
    <tabular pivotCacheId="1301943325" showMissing="0">
      <items count="7">
        <i x="3" s="1"/>
        <i x="5" s="1"/>
        <i x="2" s="1"/>
        <i x="1" s="1"/>
        <i x="4" s="1"/>
        <i x="0" s="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IPO1" xr10:uid="{00000000-0013-0000-FFFF-FFFF05000000}" sourceName="TIPO">
  <pivotTables>
    <pivotTable tabId="8" name="Tabela dinâmica2"/>
    <pivotTable tabId="8" name="Tabela dinâmica3"/>
    <pivotTable tabId="8" name="Tabela dinâmica4"/>
    <pivotTable tabId="8" name="Tabela dinâmica5"/>
    <pivotTable tabId="8" name="Tabela dinâmica6"/>
  </pivotTables>
  <data>
    <tabular pivotCacheId="1301943325">
      <items count="22">
        <i x="4" s="1"/>
        <i x="1" s="1"/>
        <i x="2" s="1"/>
        <i x="6" s="1"/>
        <i x="0" s="1"/>
        <i x="9" s="1"/>
        <i x="5" s="1"/>
        <i x="3" s="1"/>
        <i x="7" s="1"/>
        <i x="8" s="1"/>
        <i x="15" s="1" nd="1"/>
        <i x="18" s="1" nd="1"/>
        <i x="11" s="1" nd="1"/>
        <i x="12" s="1" nd="1"/>
        <i x="20" s="1" nd="1"/>
        <i x="16" s="1" nd="1"/>
        <i x="14" s="1" nd="1"/>
        <i x="21" s="1" nd="1"/>
        <i x="19" s="1" nd="1"/>
        <i x="17" s="1" nd="1"/>
        <i x="13" s="1" nd="1"/>
        <i x="10"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BASE1" xr10:uid="{00000000-0013-0000-FFFF-FFFF06000000}" sourceName="BASE">
  <pivotTables>
    <pivotTable tabId="8" name="Tabela dinâmica2"/>
    <pivotTable tabId="8" name="Tabela dinâmica3"/>
    <pivotTable tabId="8" name="Tabela dinâmica4"/>
    <pivotTable tabId="8" name="Tabela dinâmica5"/>
    <pivotTable tabId="8" name="Tabela dinâmica6"/>
  </pivotTables>
  <data>
    <tabular pivotCacheId="1301943325">
      <items count="6">
        <i x="4" s="1"/>
        <i x="2" s="1"/>
        <i x="1" s="1"/>
        <i x="0" s="1"/>
        <i x="3" s="1"/>
        <i x="5"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ÊS" xr10:uid="{00000000-0013-0000-FFFF-FFFF07000000}" sourceName="MÊS">
  <pivotTables>
    <pivotTable tabId="8" name="Tabela dinâmica3"/>
    <pivotTable tabId="8" name="Tabela dinâmica4"/>
    <pivotTable tabId="8" name="Tabela dinâmica5"/>
    <pivotTable tabId="8" name="Tabela dinâmica6"/>
  </pivotTables>
  <data>
    <tabular pivotCacheId="1301943325">
      <items count="14">
        <i x="0" s="1"/>
        <i x="1" s="1"/>
        <i x="2" s="1"/>
        <i x="3" s="1"/>
        <i x="4" s="1"/>
        <i x="5" s="1"/>
        <i x="12" s="1" nd="1"/>
        <i x="10" s="1" nd="1"/>
        <i x="8" s="1" nd="1"/>
        <i x="13" s="1" nd="1"/>
        <i x="11" s="1" nd="1"/>
        <i x="9" s="1" nd="1"/>
        <i x="6" s="1" nd="1"/>
        <i x="7"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ÊS1" xr10:uid="{00000000-0013-0000-FFFF-FFFF08000000}" sourceName="MÊS">
  <pivotTables>
    <pivotTable tabId="2" name="Tabela dinâmica3"/>
    <pivotTable tabId="2" name="Tabela dinâmica4"/>
    <pivotTable tabId="2" name="Tabela dinâmica5"/>
    <pivotTable tabId="2" name="Tabela dinâmica6"/>
  </pivotTables>
  <data>
    <tabular pivotCacheId="1301943324">
      <items count="16">
        <i x="0"/>
        <i x="1"/>
        <i x="3"/>
        <i x="4"/>
        <i x="5"/>
        <i x="6" s="1"/>
        <i x="7"/>
        <i x="8"/>
        <i x="9"/>
        <i x="2" nd="1"/>
        <i x="10" nd="1"/>
        <i x="15" nd="1"/>
        <i x="14" nd="1"/>
        <i x="12" nd="1"/>
        <i x="11"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CESSO" xr10:uid="{00000000-0014-0000-FFFF-FFFF01000000}" cache="SegmentaçãodeDados_PROCESSO" caption="PROCESSO" startItem="4" style="SlicerStyleDark5" rowHeight="234950"/>
  <slicer name="TIPO" xr10:uid="{00000000-0014-0000-FFFF-FFFF02000000}" cache="SegmentaçãodeDados_TIPO" caption="TIPO" style="SlicerStyleDark5" rowHeight="234950"/>
  <slicer name="BASE" xr10:uid="{00000000-0014-0000-FFFF-FFFF03000000}" cache="SegmentaçãodeDados_BASE" caption="BASE" style="SlicerStyleDark5" rowHeight="241300"/>
  <slicer name="MÊS 1" xr10:uid="{00000000-0014-0000-FFFF-FFFF04000000}" cache="SegmentaçãodeDados_MÊS1" caption="MÊS" columnCount="3"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CESSO 1" xr10:uid="{00000000-0014-0000-FFFF-FFFF05000000}" cache="SegmentaçãodeDados_PROCESSO1" caption="PROCESSO" style="SlicerStyleDark5" rowHeight="234950"/>
  <slicer name="TIPO 1" xr10:uid="{00000000-0014-0000-FFFF-FFFF06000000}" cache="SegmentaçãodeDados_TIPO1" caption="TIPO" style="SlicerStyleDark5" rowHeight="234950"/>
  <slicer name="BASE 1" xr10:uid="{00000000-0014-0000-FFFF-FFFF07000000}" cache="SegmentaçãodeDados_BASE1" caption="BASE" style="SlicerStyleDark5" rowHeight="241300"/>
  <slicer name="MÊS" xr10:uid="{00000000-0014-0000-FFFF-FFFF08000000}" cache="SegmentaçãodeDados_MÊS" caption="MÊS" columnCount="3"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B9:AW141" totalsRowShown="0" headerRowDxfId="304" dataDxfId="302" headerRowBorderDxfId="303" tableBorderDxfId="301" totalsRowBorderDxfId="300">
  <autoFilter ref="B9:AW141" xr:uid="{00000000-0009-0000-0100-000001000000}"/>
  <tableColumns count="48">
    <tableColumn id="1" xr3:uid="{00000000-0010-0000-0000-000001000000}" name="MÊS" dataDxfId="299">
      <calculatedColumnFormula>IF(Tabela1[[#This Row],[DATA]],PROPER(TEXT(Tabela1[[#This Row],[DATA]],"mmm")),"")</calculatedColumnFormula>
    </tableColumn>
    <tableColumn id="2" xr3:uid="{00000000-0010-0000-0000-000002000000}" name="DATA" dataDxfId="298"/>
    <tableColumn id="46" xr3:uid="{0E868A46-D87D-4721-80B4-8F010577DF73}" name="DIA" dataDxfId="297">
      <calculatedColumnFormula>CHOOSE(WEEKDAY(C10, 2), "Segunda", "Terça", "Quarta", "Quinta", "Sexta", "Sábado", "Domingo")</calculatedColumnFormula>
    </tableColumn>
    <tableColumn id="48" xr3:uid="{CB57BEC3-22F3-4FDC-AE02-BE6AD6354AC7}" name="HORA" dataDxfId="296"/>
    <tableColumn id="40" xr3:uid="{BFF2DEB2-8461-45C9-8DE8-B0313E4BA7F4}" name="TURNO" dataDxfId="295">
      <calculatedColumnFormula>IF(E10="", "", IF(E10&lt;TIME(6,0,0), "NOITE", IF(E10&lt;=TIME(12,0,0), "MANHÃ", IF(E10&lt;TIME(18,0,0), "TARDE", "NOITE"))))</calculatedColumnFormula>
    </tableColumn>
    <tableColumn id="43" xr3:uid="{00000000-0010-0000-0000-00002B000000}" name="NOME DO COLABORADOR" dataDxfId="294"/>
    <tableColumn id="3" xr3:uid="{00000000-0010-0000-0000-000003000000}" name="PREFIXO" dataDxfId="293"/>
    <tableColumn id="4" xr3:uid="{00000000-0010-0000-0000-000004000000}" name="PROCESSO" dataDxfId="292"/>
    <tableColumn id="5" xr3:uid="{00000000-0010-0000-0000-000005000000}" name="CARACTERÍSTICA" dataDxfId="291"/>
    <tableColumn id="49" xr3:uid="{2EC1B3B1-D416-41BC-BAAF-6916078D1E4F}" name="DEFINIÇÃO" dataDxfId="290"/>
    <tableColumn id="44" xr3:uid="{00000000-0010-0000-0000-00002C000000}" name="DESCRIÇÃO" dataDxfId="289"/>
    <tableColumn id="42" xr3:uid="{00000000-0010-0000-0000-00002A000000}" name="SUPERVISOR" dataDxfId="288"/>
    <tableColumn id="35" xr3:uid="{00000000-0010-0000-0000-000023000000}" name="TERCEIROS ENVOLVIDOS" dataDxfId="287"/>
    <tableColumn id="6" xr3:uid="{00000000-0010-0000-0000-000006000000}" name="CIDADE" dataDxfId="286"/>
    <tableColumn id="7" xr3:uid="{00000000-0010-0000-0000-000007000000}" name="BASE" dataDxfId="285"/>
    <tableColumn id="8" xr3:uid="{00000000-0010-0000-0000-000008000000}" name="GRAVIDADE" dataDxfId="284"/>
    <tableColumn id="41" xr3:uid="{00000000-0010-0000-0000-000029000000}" name="LESÃO" dataDxfId="283"/>
    <tableColumn id="45" xr3:uid="{00000000-0010-0000-0000-00002D000000}" name="Nº DA CAT" dataDxfId="282"/>
    <tableColumn id="9" xr3:uid="{00000000-0010-0000-0000-000009000000}" name="1. PRAZO" dataDxfId="281">
      <calculatedColumnFormula>IF($C10="","",$C10)</calculatedColumnFormula>
    </tableColumn>
    <tableColumn id="10" xr3:uid="{00000000-0010-0000-0000-00000A000000}" name="1. REALIZAÇÃO" dataDxfId="280"/>
    <tableColumn id="11" xr3:uid="{00000000-0010-0000-0000-00000B000000}" name="1. DIAS" dataDxfId="279">
      <calculatedColumnFormula>IF($C10="","",IF(U10="",TODAY()-T10,U10-T10))</calculatedColumnFormula>
    </tableColumn>
    <tableColumn id="12" xr3:uid="{00000000-0010-0000-0000-00000C000000}" name="1. STATUS" dataDxfId="278">
      <calculatedColumnFormula>IF($C10="","",IF(AND($C10&lt;&gt;"",U10=""),IF(T10=TODAY(),"VENCE HOJE",IF(T10&lt;TODAY(),"ATRASADO","NO PRAZO")),IF(U10&lt;=T10,"NO PRAZO","ATRASADO")))</calculatedColumnFormula>
    </tableColumn>
    <tableColumn id="13" xr3:uid="{00000000-0010-0000-0000-00000D000000}" name="2. PRAZO" dataDxfId="277">
      <calculatedColumnFormula>IF($C10="","",$C10+1)</calculatedColumnFormula>
    </tableColumn>
    <tableColumn id="14" xr3:uid="{00000000-0010-0000-0000-00000E000000}" name="2. REALIZAÇÃO" dataDxfId="276"/>
    <tableColumn id="15" xr3:uid="{00000000-0010-0000-0000-00000F000000}" name="2. DIAS" dataDxfId="275">
      <calculatedColumnFormula>IF($C10="","",IF(Y10="",TODAY()-X10,Y10-X10))</calculatedColumnFormula>
    </tableColumn>
    <tableColumn id="16" xr3:uid="{00000000-0010-0000-0000-000010000000}" name="2. STATUS" dataDxfId="274">
      <calculatedColumnFormula>IF($C10="","",IF(AND($C10&lt;&gt;"",Y10=""),IF(X10=TODAY(),"VENCE HOJE",IF(X10&lt;TODAY(),"ATRASADO","NO PRAZO")),IF(Y10&lt;=X10,"NO PRAZO","ATRASADO")))</calculatedColumnFormula>
    </tableColumn>
    <tableColumn id="17" xr3:uid="{00000000-0010-0000-0000-000011000000}" name="3. PRAZO" dataDxfId="273">
      <calculatedColumnFormula>IF($C10="","",$C10+1)</calculatedColumnFormula>
    </tableColumn>
    <tableColumn id="18" xr3:uid="{00000000-0010-0000-0000-000012000000}" name="3. REALIZAÇÃO" dataDxfId="272"/>
    <tableColumn id="19" xr3:uid="{00000000-0010-0000-0000-000013000000}" name="3. DIAS" dataDxfId="271">
      <calculatedColumnFormula>IF($C10="","",IF(AC10="",TODAY()-AB10,AC10-AB10))</calculatedColumnFormula>
    </tableColumn>
    <tableColumn id="20" xr3:uid="{00000000-0010-0000-0000-000014000000}" name="3. STATUS" dataDxfId="270">
      <calculatedColumnFormula>IF($C10="","",IF(AND($C10&lt;&gt;"",AC10=""),IF(AB10=TODAY(),"VENCE HOJE",IF(AB10&lt;TODAY(),"ATRASADO","NO PRAZO")),IF(AC10&lt;=AB10,"NO PRAZO","ATRASADO")))</calculatedColumnFormula>
    </tableColumn>
    <tableColumn id="21" xr3:uid="{00000000-0010-0000-0000-000015000000}" name="4. PRAZO" dataDxfId="269">
      <calculatedColumnFormula>IF($C10="","",$C10+8)</calculatedColumnFormula>
    </tableColumn>
    <tableColumn id="22" xr3:uid="{00000000-0010-0000-0000-000016000000}" name="4. REALIZAÇÃO" dataDxfId="268"/>
    <tableColumn id="23" xr3:uid="{00000000-0010-0000-0000-000017000000}" name="4. DIAS" dataDxfId="267">
      <calculatedColumnFormula>IF($C10="","",IF(AG10="",TODAY()-AF10,AG10-AF10))</calculatedColumnFormula>
    </tableColumn>
    <tableColumn id="24" xr3:uid="{00000000-0010-0000-0000-000018000000}" name="4. STATUS" dataDxfId="266">
      <calculatedColumnFormula>IF($C10="","",IF(AND($C10&lt;&gt;"",AG10=""),IF(AF10=TODAY(),"VENCE HOJE",IF(AF10&lt;TODAY(),"ATRASADO","NO PRAZO")),IF(AG10&lt;=AF10,"NO PRAZO","ATRASADO")))</calculatedColumnFormula>
    </tableColumn>
    <tableColumn id="25" xr3:uid="{00000000-0010-0000-0000-000019000000}" name="5. PRAZO" dataDxfId="265">
      <calculatedColumnFormula>IF($C10="","",$C10+9)</calculatedColumnFormula>
    </tableColumn>
    <tableColumn id="26" xr3:uid="{00000000-0010-0000-0000-00001A000000}" name="5. REALIZAÇÃO" dataDxfId="264"/>
    <tableColumn id="27" xr3:uid="{00000000-0010-0000-0000-00001B000000}" name="5. DIAS" dataDxfId="263">
      <calculatedColumnFormula>IF($C10="","",IF(AK10="",TODAY()-AJ10,AK10-AJ10))</calculatedColumnFormula>
    </tableColumn>
    <tableColumn id="28" xr3:uid="{00000000-0010-0000-0000-00001C000000}" name="5. STATUS" dataDxfId="262">
      <calculatedColumnFormula>IF($C10="","",IF(AND($C10&lt;&gt;"",AK10=""),IF(AJ10=TODAY(),"VENCE HOJE",IF(AJ10&lt;TODAY(),"ATRASADO","NO PRAZO")),IF(AK10&lt;=AJ10,"NO PRAZO","ATRASADO")))</calculatedColumnFormula>
    </tableColumn>
    <tableColumn id="29" xr3:uid="{00000000-0010-0000-0000-00001D000000}" name="6. PRAZO" dataDxfId="261">
      <calculatedColumnFormula>IF($C10="","",$C10+10)</calculatedColumnFormula>
    </tableColumn>
    <tableColumn id="30" xr3:uid="{00000000-0010-0000-0000-00001E000000}" name="6. REALIZAÇÃO" dataDxfId="260"/>
    <tableColumn id="31" xr3:uid="{00000000-0010-0000-0000-00001F000000}" name="6. DIAS" dataDxfId="259">
      <calculatedColumnFormula>IF($C10="","",IF(AO10="",TODAY()-AN10,AO10-AN10))</calculatedColumnFormula>
    </tableColumn>
    <tableColumn id="32" xr3:uid="{00000000-0010-0000-0000-000020000000}" name="6. STATUS" dataDxfId="258">
      <calculatedColumnFormula>IF($C10="","",IF(AND($C10&lt;&gt;"",AO10=""),IF(AN10=TODAY(),"VENCE HOJE",IF(AN10&lt;TODAY(),"ATRASADO","NO PRAZO")),IF(AO10&lt;=AN10,"NO PRAZO","ATRASADO")))</calculatedColumnFormula>
    </tableColumn>
    <tableColumn id="33" xr3:uid="{00000000-0010-0000-0000-000021000000}" name="7. ÍNICIO" dataDxfId="257"/>
    <tableColumn id="34" xr3:uid="{00000000-0010-0000-0000-000022000000}" name="7. FIM" dataDxfId="256"/>
    <tableColumn id="38" xr3:uid="{00000000-0010-0000-0000-000026000000}" name="8. REALIZAÇÃO" dataDxfId="255"/>
    <tableColumn id="36" xr3:uid="{923D752D-DB44-426C-A3FC-16C3B4EBA125}" name="TIPO" dataDxfId="254">
      <calculatedColumnFormula>IF(Tabela1[[#This Row],[Nº DA CAT]]="NA","INCIDENTE","ACIDENTE")</calculatedColumnFormula>
    </tableColumn>
    <tableColumn id="37" xr3:uid="{3E831651-E383-4E3C-88E0-06017AA301A5}" name="COMUNICADO EQTL" dataDxfId="253"/>
    <tableColumn id="39" xr3:uid="{823B31FF-63CF-4B40-87BE-E3B218ECCEFB}" name="TRAJETO" dataDxfId="25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0B9C3C-3A85-47DF-A1AF-44000AB77436}" name="Tabela2" displayName="Tabela2" ref="B1:H61" totalsRowShown="0" headerRowDxfId="251" dataDxfId="250">
  <autoFilter ref="B1:H61" xr:uid="{7C0B9C3C-3A85-47DF-A1AF-44000AB77436}"/>
  <sortState xmlns:xlrd2="http://schemas.microsoft.com/office/spreadsheetml/2017/richdata2" ref="B2:H61">
    <sortCondition ref="B1:B61"/>
  </sortState>
  <tableColumns count="7">
    <tableColumn id="1" xr3:uid="{F63BA4C6-8359-4776-AAB6-8000A9FA3294}" name="Mês" dataDxfId="249"/>
    <tableColumn id="2" xr3:uid="{A72DAFD5-5A3D-4A28-819D-E9C0226B23DE}" name="Ano" dataDxfId="248">
      <calculatedColumnFormula>TEXT(B2,"aaaa")</calculatedColumnFormula>
    </tableColumn>
    <tableColumn id="3" xr3:uid="{2FF750C8-48B4-4DE2-A672-34036D4EC328}" name="TG" dataDxfId="247"/>
    <tableColumn id="4" xr3:uid="{D068E7FE-9989-40F0-ABC4-EAAB0C4712E0}" name="Meta TG" dataDxfId="246"/>
    <tableColumn id="5" xr3:uid="{CD280762-0FC3-48F8-A53E-1B9DFBAE674B}" name="TF" dataDxfId="245"/>
    <tableColumn id="7" xr3:uid="{FA5B8A46-6974-4C5E-B7EE-DE17A06CE801}" name="TFCA" dataDxfId="244"/>
    <tableColumn id="6" xr3:uid="{C6445E50-DFFF-41AA-A9DF-8DC3E20F9E01}" name="Meta TF" dataDxfId="2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ela15" displayName="Tabela15" ref="B9:AE38" totalsRowShown="0" headerRowDxfId="126" dataDxfId="124" headerRowBorderDxfId="125" tableBorderDxfId="123" totalsRowBorderDxfId="122">
  <autoFilter ref="B9:AE38" xr:uid="{00000000-0009-0000-0100-000004000000}"/>
  <tableColumns count="30">
    <tableColumn id="1" xr3:uid="{00000000-0010-0000-0100-000001000000}" name="MÊS" dataDxfId="121">
      <calculatedColumnFormula>IF(Tabela15[[#This Row],[DATA]],PROPER(TEXT(Tabela15[[#This Row],[DATA]],"mmm")),"")</calculatedColumnFormula>
    </tableColumn>
    <tableColumn id="2" xr3:uid="{00000000-0010-0000-0100-000002000000}" name="DATA" dataDxfId="120"/>
    <tableColumn id="13" xr3:uid="{00000000-0010-0000-0100-00000D000000}" name="NOME DO COLABORADOR" dataDxfId="119"/>
    <tableColumn id="3" xr3:uid="{00000000-0010-0000-0100-000003000000}" name="PREFIXO" dataDxfId="118"/>
    <tableColumn id="4" xr3:uid="{00000000-0010-0000-0100-000004000000}" name="PROCESSO" dataDxfId="117"/>
    <tableColumn id="5" xr3:uid="{00000000-0010-0000-0100-000005000000}" name="TIPO" dataDxfId="116"/>
    <tableColumn id="14" xr3:uid="{00000000-0010-0000-0100-00000E000000}" name="DESCRIÇÃO" dataDxfId="115"/>
    <tableColumn id="42" xr3:uid="{00000000-0010-0000-0100-00002A000000}" name="SUPERVISOR" dataDxfId="114"/>
    <tableColumn id="6" xr3:uid="{00000000-0010-0000-0100-000006000000}" name="CIDADE" dataDxfId="113"/>
    <tableColumn id="15" xr3:uid="{00000000-0010-0000-0100-00000F000000}" name="TERCEIROS ENVOLVIDOS" dataDxfId="112"/>
    <tableColumn id="7" xr3:uid="{00000000-0010-0000-0100-000007000000}" name="BASE" dataDxfId="111"/>
    <tableColumn id="8" xr3:uid="{00000000-0010-0000-0100-000008000000}" name="GRAVIDADE" dataDxfId="110"/>
    <tableColumn id="41" xr3:uid="{00000000-0010-0000-0100-000029000000}" name="LESÃO" dataDxfId="109"/>
    <tableColumn id="9" xr3:uid="{00000000-0010-0000-0100-000009000000}" name="1. PRAZO" dataDxfId="108">
      <calculatedColumnFormula>IF($C10="","",$C10)</calculatedColumnFormula>
    </tableColumn>
    <tableColumn id="10" xr3:uid="{00000000-0010-0000-0100-00000A000000}" name="1. REALIZAÇÃO" dataDxfId="107"/>
    <tableColumn id="11" xr3:uid="{00000000-0010-0000-0100-00000B000000}" name="1. DIAS" dataDxfId="106">
      <calculatedColumnFormula>IF($C10="","",IF(P10="",TODAY()-O10,P10-O10))</calculatedColumnFormula>
    </tableColumn>
    <tableColumn id="12" xr3:uid="{00000000-0010-0000-0100-00000C000000}" name="1. STATUS" dataDxfId="105">
      <calculatedColumnFormula>IF($C10="","",IF(AND($C10&lt;&gt;"",P10=""),IF(O10=TODAY(),"VENCE HOJE",IF(O10&lt;TODAY(),"ATRASADO","NO PRAZO")),IF(P10&lt;=O10,"NO PRAZO","ATRASADO")))</calculatedColumnFormula>
    </tableColumn>
    <tableColumn id="17" xr3:uid="{00000000-0010-0000-0100-000011000000}" name="3. PRAZO" dataDxfId="104">
      <calculatedColumnFormula>IF($C10="","",$C10+1)</calculatedColumnFormula>
    </tableColumn>
    <tableColumn id="18" xr3:uid="{00000000-0010-0000-0100-000012000000}" name="3. REALIZAÇÃO" dataDxfId="103"/>
    <tableColumn id="19" xr3:uid="{00000000-0010-0000-0100-000013000000}" name="3. DIAS" dataDxfId="102">
      <calculatedColumnFormula>IF($C10="","",IF(T10="",TODAY()-S10,T10-S10))</calculatedColumnFormula>
    </tableColumn>
    <tableColumn id="20" xr3:uid="{00000000-0010-0000-0100-000014000000}" name="3. STATUS" dataDxfId="101">
      <calculatedColumnFormula>IF($C10="","",IF(AND($C10&lt;&gt;"",T10=""),IF(S10=TODAY(),"VENCE HOJE",IF(S10&lt;TODAY(),"ATRASADO","NO PRAZO")),IF(T10&lt;=S10,"NO PRAZO","ATRASADO")))</calculatedColumnFormula>
    </tableColumn>
    <tableColumn id="21" xr3:uid="{00000000-0010-0000-0100-000015000000}" name="4. PRAZO" dataDxfId="100">
      <calculatedColumnFormula>IF($C10="","",$C10+5)</calculatedColumnFormula>
    </tableColumn>
    <tableColumn id="22" xr3:uid="{00000000-0010-0000-0100-000016000000}" name="4. REALIZAÇÃO" dataDxfId="99"/>
    <tableColumn id="23" xr3:uid="{00000000-0010-0000-0100-000017000000}" name="4. DIAS" dataDxfId="98">
      <calculatedColumnFormula>IF($C10="","",IF(X10="",TODAY()-W10,X10-W10))</calculatedColumnFormula>
    </tableColumn>
    <tableColumn id="24" xr3:uid="{00000000-0010-0000-0100-000018000000}" name="4. STATUS" dataDxfId="97">
      <calculatedColumnFormula>IF($C10="","",IF(AND($C10&lt;&gt;"",X10=""),IF(W10=TODAY(),"VENCE HOJE",IF(W10&lt;TODAY(),"ATRASADO","NO PRAZO")),IF(X10&lt;=W10,"NO PRAZO","ATRASADO")))</calculatedColumnFormula>
    </tableColumn>
    <tableColumn id="25" xr3:uid="{00000000-0010-0000-0100-000019000000}" name="5. PRAZO" dataDxfId="96">
      <calculatedColumnFormula>IF($C10="","",$C10+8)</calculatedColumnFormula>
    </tableColumn>
    <tableColumn id="26" xr3:uid="{00000000-0010-0000-0100-00001A000000}" name="5. REALIZAÇÃO" dataDxfId="95"/>
    <tableColumn id="27" xr3:uid="{00000000-0010-0000-0100-00001B000000}" name="5. DIAS" dataDxfId="94">
      <calculatedColumnFormula>IF($C10="","",IF(AB10="",TODAY()-AA10,AB10-AA10))</calculatedColumnFormula>
    </tableColumn>
    <tableColumn id="28" xr3:uid="{00000000-0010-0000-0100-00001C000000}" name="5. STATUS" dataDxfId="93">
      <calculatedColumnFormula>IF($C10="","",IF(AND($C10&lt;&gt;"",AB10=""),IF(AA10=TODAY(),"VENCE HOJE",IF(AA10&lt;TODAY(),"ATRASADO","NO PRAZO")),IF(AB10&lt;=AA10,"NO PRAZO","ATRASADO")))</calculatedColumnFormula>
    </tableColumn>
    <tableColumn id="34" xr3:uid="{00000000-0010-0000-0100-000022000000}" name="7. REALIZAÇÃO" dataDxfId="9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134" displayName="Tabela134" ref="C9:N31" totalsRowShown="0" headerRowDxfId="91" dataDxfId="89" headerRowBorderDxfId="90" tableBorderDxfId="88" totalsRowBorderDxfId="87">
  <autoFilter ref="C9:N31" xr:uid="{00000000-0009-0000-0100-000003000000}"/>
  <tableColumns count="12">
    <tableColumn id="1" xr3:uid="{00000000-0010-0000-0200-000001000000}" name="MÊS" dataDxfId="86">
      <calculatedColumnFormula>IF(Tabela134[[#This Row],[DATA]],PROPER(TEXT(Tabela134[[#This Row],[DATA]],"mmm")),"")</calculatedColumnFormula>
    </tableColumn>
    <tableColumn id="2" xr3:uid="{00000000-0010-0000-0200-000002000000}" name="DATA" dataDxfId="85"/>
    <tableColumn id="11" xr3:uid="{00000000-0010-0000-0200-00000B000000}" name="COLABORADOR" dataDxfId="84"/>
    <tableColumn id="3" xr3:uid="{00000000-0010-0000-0200-000003000000}" name="PREFIXO" dataDxfId="83"/>
    <tableColumn id="4" xr3:uid="{00000000-0010-0000-0200-000004000000}" name="PROCESSO" dataDxfId="82"/>
    <tableColumn id="5" xr3:uid="{00000000-0010-0000-0200-000005000000}" name="TIPO" dataDxfId="81"/>
    <tableColumn id="10" xr3:uid="{00000000-0010-0000-0200-00000A000000}" name="DESCRIÇÃO" dataDxfId="80"/>
    <tableColumn id="42" xr3:uid="{00000000-0010-0000-0200-00002A000000}" name="SUPERVISOR" dataDxfId="79"/>
    <tableColumn id="6" xr3:uid="{00000000-0010-0000-0200-000006000000}" name="CIDADE" dataDxfId="78"/>
    <tableColumn id="7" xr3:uid="{00000000-0010-0000-0200-000007000000}" name="BASE" dataDxfId="77"/>
    <tableColumn id="8" xr3:uid="{00000000-0010-0000-0200-000008000000}" name="GRAVIDADE" dataDxfId="76"/>
    <tableColumn id="9" xr3:uid="{00000000-0010-0000-0200-000009000000}" name="LESÃO" dataDxfId="75"/>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Mediano">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4.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A0000"/>
    <pageSetUpPr fitToPage="1"/>
  </sheetPr>
  <dimension ref="B1:AW141"/>
  <sheetViews>
    <sheetView showGridLines="0" tabSelected="1" zoomScale="70" zoomScaleNormal="70" workbookViewId="0">
      <pane xSplit="1" ySplit="9" topLeftCell="B136" activePane="bottomRight" state="frozen"/>
      <selection pane="topRight" activeCell="B1" sqref="B1"/>
      <selection pane="bottomLeft" activeCell="A10" sqref="A10"/>
      <selection pane="bottomRight" activeCell="G141" sqref="G141"/>
    </sheetView>
  </sheetViews>
  <sheetFormatPr defaultColWidth="10.88671875" defaultRowHeight="14.4" x14ac:dyDescent="0.3"/>
  <cols>
    <col min="1" max="1" width="0.44140625" style="1" customWidth="1"/>
    <col min="2" max="2" width="12.88671875" style="1" customWidth="1"/>
    <col min="3" max="3" width="12.44140625" style="1" bestFit="1" customWidth="1"/>
    <col min="4" max="6" width="12.44140625" style="1" customWidth="1"/>
    <col min="7" max="7" width="38" style="1" bestFit="1" customWidth="1"/>
    <col min="8" max="8" width="18.33203125" style="1" bestFit="1" customWidth="1"/>
    <col min="9" max="9" width="16.5546875" style="1" customWidth="1"/>
    <col min="10" max="11" width="35.88671875" style="1" customWidth="1"/>
    <col min="12" max="12" width="143" style="146" customWidth="1"/>
    <col min="13" max="14" width="23.44140625" style="1" customWidth="1"/>
    <col min="15" max="15" width="27.44140625" style="1" customWidth="1"/>
    <col min="16" max="16" width="14.44140625" style="1" customWidth="1"/>
    <col min="17" max="17" width="21.5546875" style="1" customWidth="1"/>
    <col min="18" max="18" width="19.6640625" style="1" customWidth="1"/>
    <col min="19" max="19" width="24.44140625" style="1" customWidth="1"/>
    <col min="20" max="20" width="12.5546875" style="1" customWidth="1"/>
    <col min="21" max="21" width="17.6640625" style="1" customWidth="1"/>
    <col min="22" max="22" width="11.109375" style="1" customWidth="1"/>
    <col min="23" max="23" width="13.44140625" style="1" customWidth="1"/>
    <col min="24" max="24" width="13" style="1" customWidth="1"/>
    <col min="25" max="25" width="18.109375" style="1" customWidth="1"/>
    <col min="26" max="26" width="14.88671875" style="1" customWidth="1"/>
    <col min="27" max="27" width="13.88671875" style="1" customWidth="1"/>
    <col min="28" max="28" width="13" style="1" customWidth="1"/>
    <col min="29" max="29" width="18.109375" style="1" customWidth="1"/>
    <col min="30" max="30" width="11.5546875" style="1" customWidth="1"/>
    <col min="31" max="31" width="13.88671875" style="1" customWidth="1"/>
    <col min="32" max="32" width="13" style="1" customWidth="1"/>
    <col min="33" max="33" width="18.109375" style="1" customWidth="1"/>
    <col min="34" max="34" width="11.5546875" style="1" customWidth="1"/>
    <col min="35" max="35" width="13.88671875" style="1" customWidth="1"/>
    <col min="36" max="36" width="13" style="1" customWidth="1"/>
    <col min="37" max="37" width="18.109375" style="1" customWidth="1"/>
    <col min="38" max="38" width="11.5546875" style="1" customWidth="1"/>
    <col min="39" max="39" width="13.88671875" style="1" customWidth="1"/>
    <col min="40" max="40" width="13" style="1" customWidth="1"/>
    <col min="41" max="41" width="18.109375" style="1" customWidth="1"/>
    <col min="42" max="42" width="11.5546875" style="1" customWidth="1"/>
    <col min="43" max="43" width="13.88671875" style="1" customWidth="1"/>
    <col min="44" max="44" width="22.44140625" style="1" customWidth="1"/>
    <col min="45" max="45" width="24.5546875" style="1" customWidth="1"/>
    <col min="46" max="46" width="58.33203125" style="1" customWidth="1"/>
    <col min="47" max="47" width="15" style="1" customWidth="1"/>
    <col min="48" max="48" width="24" style="1" bestFit="1" customWidth="1"/>
    <col min="49" max="49" width="18.6640625" style="1" bestFit="1" customWidth="1"/>
    <col min="50" max="50" width="8.88671875" style="1" customWidth="1"/>
    <col min="51" max="51" width="11" style="1" customWidth="1"/>
    <col min="52" max="16384" width="10.88671875" style="1"/>
  </cols>
  <sheetData>
    <row r="1" spans="2:49" ht="3" customHeight="1" x14ac:dyDescent="0.3">
      <c r="B1" s="2"/>
      <c r="C1" s="2"/>
      <c r="D1" s="2"/>
      <c r="E1" s="2"/>
      <c r="F1" s="2"/>
      <c r="G1" s="2"/>
      <c r="H1" s="2"/>
      <c r="I1" s="2"/>
      <c r="J1" s="2"/>
      <c r="K1" s="2"/>
      <c r="L1" s="131"/>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4"/>
    </row>
    <row r="2" spans="2:49" x14ac:dyDescent="0.3">
      <c r="B2" s="13"/>
      <c r="C2" s="172" t="s">
        <v>19</v>
      </c>
      <c r="D2" s="173"/>
      <c r="E2" s="173"/>
      <c r="F2" s="173"/>
      <c r="G2" s="173"/>
      <c r="H2" s="174"/>
      <c r="I2" s="3" t="s">
        <v>8</v>
      </c>
      <c r="J2" s="172" t="s">
        <v>10</v>
      </c>
      <c r="K2" s="173"/>
      <c r="L2" s="173"/>
      <c r="M2" s="174"/>
      <c r="N2" s="172" t="s">
        <v>12</v>
      </c>
      <c r="O2" s="173"/>
      <c r="P2" s="173"/>
      <c r="Q2" s="174"/>
      <c r="R2" s="17"/>
      <c r="S2" s="28"/>
      <c r="T2" s="29"/>
      <c r="U2" s="29"/>
      <c r="V2" s="30"/>
      <c r="W2" s="28"/>
      <c r="X2" s="29"/>
      <c r="Y2" s="29"/>
      <c r="Z2" s="30"/>
      <c r="AA2" s="28"/>
      <c r="AB2" s="29"/>
      <c r="AC2" s="29"/>
      <c r="AD2" s="30"/>
      <c r="AE2" s="28"/>
      <c r="AF2" s="29"/>
      <c r="AG2" s="29"/>
      <c r="AH2" s="30"/>
      <c r="AI2" s="28"/>
      <c r="AJ2" s="29"/>
      <c r="AK2" s="29"/>
      <c r="AL2" s="30"/>
      <c r="AM2" s="28"/>
      <c r="AN2" s="29"/>
      <c r="AO2" s="29"/>
      <c r="AP2" s="30"/>
      <c r="AQ2" s="28"/>
      <c r="AR2" s="29"/>
      <c r="AS2" s="33"/>
    </row>
    <row r="3" spans="2:49" x14ac:dyDescent="0.3">
      <c r="B3" s="13"/>
      <c r="C3" s="163"/>
      <c r="D3" s="164"/>
      <c r="E3" s="164"/>
      <c r="F3" s="164"/>
      <c r="G3" s="164"/>
      <c r="H3" s="165"/>
      <c r="I3" s="4" t="s">
        <v>9</v>
      </c>
      <c r="J3" s="175" t="s">
        <v>11</v>
      </c>
      <c r="K3" s="176"/>
      <c r="L3" s="176"/>
      <c r="M3" s="177"/>
      <c r="N3" s="175" t="s">
        <v>13</v>
      </c>
      <c r="O3" s="176"/>
      <c r="P3" s="176"/>
      <c r="Q3" s="177"/>
      <c r="R3" s="13"/>
      <c r="S3" s="31"/>
      <c r="T3" s="13"/>
      <c r="U3" s="13"/>
      <c r="V3" s="32"/>
      <c r="W3" s="31"/>
      <c r="X3" s="13"/>
      <c r="Y3" s="13"/>
      <c r="Z3" s="32"/>
      <c r="AA3" s="31"/>
      <c r="AB3" s="13"/>
      <c r="AC3" s="13"/>
      <c r="AD3" s="32"/>
      <c r="AE3" s="31"/>
      <c r="AF3" s="13"/>
      <c r="AG3" s="13"/>
      <c r="AH3" s="32"/>
      <c r="AI3" s="31"/>
      <c r="AJ3" s="13"/>
      <c r="AK3" s="13"/>
      <c r="AL3" s="32"/>
      <c r="AM3" s="31"/>
      <c r="AN3" s="13"/>
      <c r="AO3" s="13"/>
      <c r="AP3" s="32"/>
      <c r="AQ3" s="31"/>
      <c r="AR3" s="13"/>
      <c r="AS3" s="33"/>
    </row>
    <row r="4" spans="2:49" x14ac:dyDescent="0.3">
      <c r="B4" s="13"/>
      <c r="C4" s="166"/>
      <c r="D4" s="167"/>
      <c r="E4" s="167"/>
      <c r="F4" s="167"/>
      <c r="G4" s="167"/>
      <c r="H4" s="168"/>
      <c r="I4" s="3" t="s">
        <v>14</v>
      </c>
      <c r="J4" s="172" t="s">
        <v>16</v>
      </c>
      <c r="K4" s="173"/>
      <c r="L4" s="173"/>
      <c r="M4" s="174"/>
      <c r="N4" s="172" t="s">
        <v>17</v>
      </c>
      <c r="O4" s="173"/>
      <c r="P4" s="173"/>
      <c r="Q4" s="174"/>
      <c r="R4" s="18"/>
      <c r="S4" s="31"/>
      <c r="T4" s="13"/>
      <c r="U4" s="13"/>
      <c r="V4" s="32"/>
      <c r="W4" s="31"/>
      <c r="X4" s="13"/>
      <c r="Y4" s="13"/>
      <c r="Z4" s="32"/>
      <c r="AA4" s="31"/>
      <c r="AB4" s="13"/>
      <c r="AC4" s="13"/>
      <c r="AD4" s="32"/>
      <c r="AE4" s="31"/>
      <c r="AF4" s="13"/>
      <c r="AG4" s="13"/>
      <c r="AH4" s="32"/>
      <c r="AI4" s="31"/>
      <c r="AJ4" s="13"/>
      <c r="AK4" s="13"/>
      <c r="AL4" s="32"/>
      <c r="AM4" s="31"/>
      <c r="AN4" s="13"/>
      <c r="AO4" s="13"/>
      <c r="AP4" s="32"/>
      <c r="AQ4" s="31"/>
      <c r="AR4" s="13"/>
      <c r="AS4" s="33"/>
    </row>
    <row r="5" spans="2:49" x14ac:dyDescent="0.3">
      <c r="B5" s="13"/>
      <c r="C5" s="166"/>
      <c r="D5" s="167"/>
      <c r="E5" s="167"/>
      <c r="F5" s="167"/>
      <c r="G5" s="167"/>
      <c r="H5" s="168"/>
      <c r="I5" s="4" t="s">
        <v>15</v>
      </c>
      <c r="J5" s="175">
        <v>0</v>
      </c>
      <c r="K5" s="176"/>
      <c r="L5" s="176"/>
      <c r="M5" s="177"/>
      <c r="N5" s="180">
        <f ca="1">TODAY()</f>
        <v>46321</v>
      </c>
      <c r="O5" s="181"/>
      <c r="P5" s="181"/>
      <c r="Q5" s="182"/>
      <c r="R5" s="19"/>
      <c r="S5" s="31"/>
      <c r="T5" s="13"/>
      <c r="U5" s="13"/>
      <c r="V5" s="32"/>
      <c r="W5" s="31"/>
      <c r="X5" s="13"/>
      <c r="Y5" s="13"/>
      <c r="Z5" s="32"/>
      <c r="AA5" s="31"/>
      <c r="AB5" s="13"/>
      <c r="AC5" s="13"/>
      <c r="AD5" s="32"/>
      <c r="AE5" s="31"/>
      <c r="AF5" s="13"/>
      <c r="AG5" s="13"/>
      <c r="AH5" s="32"/>
      <c r="AI5" s="31"/>
      <c r="AJ5" s="13"/>
      <c r="AK5" s="13"/>
      <c r="AL5" s="32"/>
      <c r="AM5" s="31"/>
      <c r="AN5" s="13"/>
      <c r="AO5" s="13"/>
      <c r="AP5" s="32"/>
      <c r="AQ5" s="31"/>
      <c r="AR5" s="13"/>
      <c r="AS5" s="33"/>
    </row>
    <row r="6" spans="2:49" x14ac:dyDescent="0.3">
      <c r="B6" s="13"/>
      <c r="C6" s="166"/>
      <c r="D6" s="167"/>
      <c r="E6" s="167"/>
      <c r="F6" s="167"/>
      <c r="G6" s="167"/>
      <c r="H6" s="168"/>
      <c r="I6" s="178" t="s">
        <v>18</v>
      </c>
      <c r="J6" s="178"/>
      <c r="K6" s="178"/>
      <c r="L6" s="178"/>
      <c r="M6" s="178"/>
      <c r="N6" s="173" t="s">
        <v>70</v>
      </c>
      <c r="O6" s="173"/>
      <c r="P6" s="173"/>
      <c r="Q6" s="174"/>
      <c r="R6" s="18"/>
      <c r="S6" s="31"/>
      <c r="T6" s="13"/>
      <c r="U6" s="13"/>
      <c r="V6" s="32"/>
      <c r="W6" s="31"/>
      <c r="X6" s="13"/>
      <c r="Y6" s="13"/>
      <c r="Z6" s="32"/>
      <c r="AA6" s="31"/>
      <c r="AB6" s="13"/>
      <c r="AC6" s="13"/>
      <c r="AD6" s="32"/>
      <c r="AE6" s="31"/>
      <c r="AF6" s="13"/>
      <c r="AG6" s="13"/>
      <c r="AH6" s="32"/>
      <c r="AI6" s="31"/>
      <c r="AJ6" s="13"/>
      <c r="AK6" s="13"/>
      <c r="AL6" s="32"/>
      <c r="AM6" s="31"/>
      <c r="AN6" s="13"/>
      <c r="AO6" s="13"/>
      <c r="AP6" s="32"/>
      <c r="AQ6" s="31"/>
      <c r="AR6" s="13"/>
      <c r="AS6" s="33"/>
    </row>
    <row r="7" spans="2:49" x14ac:dyDescent="0.3">
      <c r="B7" s="13"/>
      <c r="C7" s="169"/>
      <c r="D7" s="170"/>
      <c r="E7" s="170"/>
      <c r="F7" s="170"/>
      <c r="G7" s="170"/>
      <c r="H7" s="171"/>
      <c r="I7" s="179" t="s">
        <v>58</v>
      </c>
      <c r="J7" s="179"/>
      <c r="K7" s="179"/>
      <c r="L7" s="179"/>
      <c r="M7" s="179"/>
      <c r="N7" s="176" t="e">
        <f ca="1">DATEDIF((#REF!+1),TODAY(),"d")</f>
        <v>#REF!</v>
      </c>
      <c r="O7" s="176"/>
      <c r="P7" s="176"/>
      <c r="Q7" s="177"/>
      <c r="R7" s="13"/>
      <c r="S7" s="31"/>
      <c r="T7" s="13"/>
      <c r="U7" s="13"/>
      <c r="V7" s="32"/>
      <c r="W7" s="31"/>
      <c r="X7" s="13"/>
      <c r="Y7" s="13"/>
      <c r="Z7" s="32"/>
      <c r="AA7" s="31"/>
      <c r="AB7" s="13"/>
      <c r="AC7" s="13"/>
      <c r="AD7" s="32"/>
      <c r="AE7" s="31"/>
      <c r="AF7" s="13"/>
      <c r="AG7" s="13"/>
      <c r="AH7" s="32"/>
      <c r="AI7" s="31"/>
      <c r="AJ7" s="13"/>
      <c r="AK7" s="13"/>
      <c r="AL7" s="32"/>
      <c r="AM7" s="31"/>
      <c r="AN7" s="13"/>
      <c r="AO7" s="13"/>
      <c r="AP7" s="32"/>
      <c r="AQ7" s="31"/>
      <c r="AR7" s="13"/>
      <c r="AS7" s="33"/>
    </row>
    <row r="8" spans="2:49" x14ac:dyDescent="0.3">
      <c r="B8" s="13"/>
      <c r="C8" s="13"/>
      <c r="D8" s="13"/>
      <c r="E8" s="13"/>
      <c r="F8" s="13"/>
      <c r="G8" s="13"/>
      <c r="H8" s="13"/>
      <c r="I8" s="13"/>
      <c r="J8" s="13"/>
      <c r="K8" s="13"/>
      <c r="L8" s="132"/>
      <c r="M8" s="13"/>
      <c r="N8" s="13"/>
      <c r="O8" s="13"/>
      <c r="P8" s="13"/>
      <c r="Q8" s="13"/>
      <c r="R8" s="13"/>
      <c r="S8" s="13"/>
      <c r="T8" s="31"/>
      <c r="U8" s="13"/>
      <c r="V8" s="13"/>
      <c r="W8" s="32"/>
      <c r="X8" s="31"/>
      <c r="Y8" s="13"/>
      <c r="Z8" s="13"/>
      <c r="AA8" s="32"/>
      <c r="AB8" s="31"/>
      <c r="AC8" s="13"/>
      <c r="AD8" s="13"/>
      <c r="AE8" s="32"/>
      <c r="AF8" s="31"/>
      <c r="AG8" s="13"/>
      <c r="AH8" s="13"/>
      <c r="AI8" s="32"/>
      <c r="AJ8" s="31"/>
      <c r="AK8" s="13"/>
      <c r="AL8" s="13"/>
      <c r="AM8" s="32"/>
      <c r="AN8" s="31"/>
      <c r="AO8" s="13"/>
      <c r="AP8" s="13"/>
      <c r="AQ8" s="32"/>
      <c r="AR8" s="31"/>
      <c r="AS8" s="13"/>
      <c r="AT8" s="33"/>
    </row>
    <row r="9" spans="2:49" ht="30" customHeight="1" x14ac:dyDescent="0.3">
      <c r="B9" s="5" t="s">
        <v>30</v>
      </c>
      <c r="C9" s="6" t="s">
        <v>0</v>
      </c>
      <c r="D9" s="6" t="s">
        <v>673</v>
      </c>
      <c r="E9" s="6" t="s">
        <v>680</v>
      </c>
      <c r="F9" s="6" t="s">
        <v>672</v>
      </c>
      <c r="G9" s="6" t="s">
        <v>59</v>
      </c>
      <c r="H9" s="6" t="s">
        <v>1</v>
      </c>
      <c r="I9" s="6" t="s">
        <v>2</v>
      </c>
      <c r="J9" s="6" t="s">
        <v>259</v>
      </c>
      <c r="K9" s="6" t="s">
        <v>681</v>
      </c>
      <c r="L9" s="39" t="s">
        <v>71</v>
      </c>
      <c r="M9" s="6" t="s">
        <v>6</v>
      </c>
      <c r="N9" s="39" t="s">
        <v>81</v>
      </c>
      <c r="O9" s="6" t="s">
        <v>3</v>
      </c>
      <c r="P9" s="6" t="s">
        <v>31</v>
      </c>
      <c r="Q9" s="6" t="s">
        <v>4</v>
      </c>
      <c r="R9" s="6" t="s">
        <v>28</v>
      </c>
      <c r="S9" s="6" t="s">
        <v>60</v>
      </c>
      <c r="T9" s="6" t="s">
        <v>32</v>
      </c>
      <c r="U9" s="6" t="s">
        <v>34</v>
      </c>
      <c r="V9" s="6" t="s">
        <v>35</v>
      </c>
      <c r="W9" s="6" t="s">
        <v>36</v>
      </c>
      <c r="X9" s="6" t="s">
        <v>33</v>
      </c>
      <c r="Y9" s="6" t="s">
        <v>37</v>
      </c>
      <c r="Z9" s="6" t="s">
        <v>38</v>
      </c>
      <c r="AA9" s="6" t="s">
        <v>39</v>
      </c>
      <c r="AB9" s="6" t="s">
        <v>40</v>
      </c>
      <c r="AC9" s="6" t="s">
        <v>41</v>
      </c>
      <c r="AD9" s="6" t="s">
        <v>42</v>
      </c>
      <c r="AE9" s="6" t="s">
        <v>43</v>
      </c>
      <c r="AF9" s="6" t="s">
        <v>44</v>
      </c>
      <c r="AG9" s="6" t="s">
        <v>45</v>
      </c>
      <c r="AH9" s="6" t="s">
        <v>46</v>
      </c>
      <c r="AI9" s="6" t="s">
        <v>47</v>
      </c>
      <c r="AJ9" s="6" t="s">
        <v>48</v>
      </c>
      <c r="AK9" s="6" t="s">
        <v>49</v>
      </c>
      <c r="AL9" s="6" t="s">
        <v>50</v>
      </c>
      <c r="AM9" s="6" t="s">
        <v>51</v>
      </c>
      <c r="AN9" s="6" t="s">
        <v>52</v>
      </c>
      <c r="AO9" s="6" t="s">
        <v>53</v>
      </c>
      <c r="AP9" s="6" t="s">
        <v>54</v>
      </c>
      <c r="AQ9" s="6" t="s">
        <v>55</v>
      </c>
      <c r="AR9" s="6" t="s">
        <v>64</v>
      </c>
      <c r="AS9" s="22" t="s">
        <v>65</v>
      </c>
      <c r="AT9" s="23" t="s">
        <v>57</v>
      </c>
      <c r="AU9" s="6" t="s">
        <v>7</v>
      </c>
      <c r="AV9" s="64" t="s">
        <v>252</v>
      </c>
      <c r="AW9" s="63" t="s">
        <v>224</v>
      </c>
    </row>
    <row r="10" spans="2:49" ht="66" x14ac:dyDescent="0.3">
      <c r="B10" s="69" t="str">
        <f>IF(Tabela1[[#This Row],[DATA]],PROPER(TEXT(Tabela1[[#This Row],[DATA]],"mmm")),"")</f>
        <v>Jan</v>
      </c>
      <c r="C10" s="67">
        <v>45315</v>
      </c>
      <c r="D10" s="67" t="str">
        <f t="shared" ref="D10:D41" si="0">CHOOSE(WEEKDAY(C10, 2), "Segunda", "Terça", "Quarta", "Quinta", "Sexta", "Sábado", "Domingo")</f>
        <v>Quarta</v>
      </c>
      <c r="E10" s="148"/>
      <c r="F10" s="67" t="str">
        <f t="shared" ref="F10:F73" si="1">IF(E10="", "", IF(E10&lt;TIME(6,0,0), "NOITE", IF(E10&lt;=TIME(12,0,0), "MANHÃ", IF(E10&lt;TIME(18,0,0), "TARDE", "NOITE"))))</f>
        <v/>
      </c>
      <c r="G10" s="67" t="s">
        <v>82</v>
      </c>
      <c r="H10" s="4" t="s">
        <v>480</v>
      </c>
      <c r="I10" s="4" t="s">
        <v>84</v>
      </c>
      <c r="J10" s="4" t="s">
        <v>263</v>
      </c>
      <c r="K10" s="4"/>
      <c r="L10" s="74" t="s">
        <v>85</v>
      </c>
      <c r="M10" s="4" t="s">
        <v>86</v>
      </c>
      <c r="N10" s="4" t="s">
        <v>675</v>
      </c>
      <c r="O10" s="4" t="s">
        <v>88</v>
      </c>
      <c r="P10" s="4" t="s">
        <v>26</v>
      </c>
      <c r="Q10" s="4" t="s">
        <v>5</v>
      </c>
      <c r="R10" s="66" t="s">
        <v>29</v>
      </c>
      <c r="S10" s="4" t="s">
        <v>89</v>
      </c>
      <c r="T10" s="67">
        <f t="shared" ref="T10:T24" si="2">IF($C10="","",$C10)</f>
        <v>45315</v>
      </c>
      <c r="U10" s="67">
        <v>45315</v>
      </c>
      <c r="V10" s="4">
        <f t="shared" ref="V10:V19" ca="1" si="3">IF($C10="","",IF(U10="",TODAY()-T10,U10-T10))</f>
        <v>0</v>
      </c>
      <c r="W10" s="4" t="str">
        <f t="shared" ref="W10:W19" ca="1" si="4">IF($C10="","",IF(AND($C10&lt;&gt;"",U10=""),IF(T10=TODAY(),"VENCE HOJE",IF(T10&lt;TODAY(),"ATRASADO","NO PRAZO")),IF(U10&lt;=T10,"NO PRAZO","ATRASADO")))</f>
        <v>NO PRAZO</v>
      </c>
      <c r="X10" s="67">
        <f t="shared" ref="X10:X19" si="5">IF($C10="","",$C10+1)</f>
        <v>45316</v>
      </c>
      <c r="Y10" s="67">
        <v>45316</v>
      </c>
      <c r="Z10" s="4">
        <f t="shared" ref="Z10:Z19" ca="1" si="6">IF($C10="","",IF(Y10="",TODAY()-X10,Y10-X10))</f>
        <v>0</v>
      </c>
      <c r="AA10" s="4" t="str">
        <f t="shared" ref="AA10:AA19" ca="1" si="7">IF($C10="","",IF(AND($C10&lt;&gt;"",Y10=""),IF(X10=TODAY(),"VENCE HOJE",IF(X10&lt;TODAY(),"ATRASADO","NO PRAZO")),IF(Y10&lt;=X10,"NO PRAZO","ATRASADO")))</f>
        <v>NO PRAZO</v>
      </c>
      <c r="AB10" s="67">
        <f t="shared" ref="AB10:AB24" si="8">IF($C10="","",$C10+1)</f>
        <v>45316</v>
      </c>
      <c r="AC10" s="67">
        <v>45316</v>
      </c>
      <c r="AD10" s="4">
        <f t="shared" ref="AD10:AD19" ca="1" si="9">IF($C10="","",IF(AC10="",TODAY()-AB10,AC10-AB10))</f>
        <v>0</v>
      </c>
      <c r="AE10" s="4" t="str">
        <f t="shared" ref="AE10:AE19" ca="1" si="10">IF($C10="","",IF(AND($C10&lt;&gt;"",AC10=""),IF(AB10=TODAY(),"VENCE HOJE",IF(AB10&lt;TODAY(),"ATRASADO","NO PRAZO")),IF(AC10&lt;=AB10,"NO PRAZO","ATRASADO")))</f>
        <v>NO PRAZO</v>
      </c>
      <c r="AF10" s="67">
        <f t="shared" ref="AF10:AF24" si="11">IF($C10="","",$C10+8)</f>
        <v>45323</v>
      </c>
      <c r="AG10" s="67">
        <v>45323</v>
      </c>
      <c r="AH10" s="4">
        <f t="shared" ref="AH10:AH19" ca="1" si="12">IF($C10="","",IF(AG10="",TODAY()-AF10,AG10-AF10))</f>
        <v>0</v>
      </c>
      <c r="AI10" s="4" t="str">
        <f t="shared" ref="AI10:AI19" ca="1" si="13">IF($C10="","",IF(AND($C10&lt;&gt;"",AG10=""),IF(AF10=TODAY(),"VENCE HOJE",IF(AF10&lt;TODAY(),"ATRASADO","NO PRAZO")),IF(AG10&lt;=AF10,"NO PRAZO","ATRASADO")))</f>
        <v>NO PRAZO</v>
      </c>
      <c r="AJ10" s="67">
        <f t="shared" ref="AJ10:AJ24" si="14">IF($C10="","",$C10+9)</f>
        <v>45324</v>
      </c>
      <c r="AK10" s="67">
        <v>45324</v>
      </c>
      <c r="AL10" s="4">
        <f t="shared" ref="AL10:AL19" ca="1" si="15">IF($C10="","",IF(AK10="",TODAY()-AJ10,AK10-AJ10))</f>
        <v>0</v>
      </c>
      <c r="AM10" s="4" t="str">
        <f t="shared" ref="AM10:AM19" ca="1" si="16">IF($C10="","",IF(AND($C10&lt;&gt;"",AK10=""),IF(AJ10=TODAY(),"VENCE HOJE",IF(AJ10&lt;TODAY(),"ATRASADO","NO PRAZO")),IF(AK10&lt;=AJ10,"NO PRAZO","ATRASADO")))</f>
        <v>NO PRAZO</v>
      </c>
      <c r="AN10" s="67">
        <f t="shared" ref="AN10:AN19" si="17">IF($C10="","",$C10+10)</f>
        <v>45325</v>
      </c>
      <c r="AO10" s="67">
        <v>45325</v>
      </c>
      <c r="AP10" s="4">
        <f t="shared" ref="AP10:AP19" ca="1" si="18">IF($C10="","",IF(AO10="",TODAY()-AN10,AO10-AN10))</f>
        <v>0</v>
      </c>
      <c r="AQ10" s="4" t="str">
        <f t="shared" ref="AQ10:AQ19" ca="1" si="19">IF($C10="","",IF(AND($C10&lt;&gt;"",AO10=""),IF(AN10=TODAY(),"VENCE HOJE",IF(AN10&lt;TODAY(),"ATRASADO","NO PRAZO")),IF(AO10&lt;=AN10,"NO PRAZO","ATRASADO")))</f>
        <v>NO PRAZO</v>
      </c>
      <c r="AR10" s="67"/>
      <c r="AS10" s="67"/>
      <c r="AT10" s="67"/>
      <c r="AU10" s="71" t="s">
        <v>257</v>
      </c>
      <c r="AV10" s="66" t="s">
        <v>101</v>
      </c>
      <c r="AW10" s="66"/>
    </row>
    <row r="11" spans="2:49" ht="52.8" x14ac:dyDescent="0.3">
      <c r="B11" s="69" t="str">
        <f>IF(Tabela1[[#This Row],[DATA]],PROPER(TEXT(Tabela1[[#This Row],[DATA]],"mmm")),"")</f>
        <v>Jan</v>
      </c>
      <c r="C11" s="67">
        <v>45315</v>
      </c>
      <c r="D11" s="67" t="str">
        <f t="shared" si="0"/>
        <v>Quarta</v>
      </c>
      <c r="E11" s="148"/>
      <c r="F11" s="67" t="str">
        <f t="shared" si="1"/>
        <v/>
      </c>
      <c r="G11" s="67" t="s">
        <v>156</v>
      </c>
      <c r="H11" s="4" t="s">
        <v>481</v>
      </c>
      <c r="I11" s="4" t="s">
        <v>84</v>
      </c>
      <c r="J11" s="4" t="s">
        <v>212</v>
      </c>
      <c r="K11" s="4"/>
      <c r="L11" s="74" t="s">
        <v>90</v>
      </c>
      <c r="M11" s="4" t="s">
        <v>91</v>
      </c>
      <c r="N11" s="4" t="s">
        <v>675</v>
      </c>
      <c r="O11" s="4" t="s">
        <v>92</v>
      </c>
      <c r="P11" s="4" t="s">
        <v>93</v>
      </c>
      <c r="Q11" s="4" t="s">
        <v>5</v>
      </c>
      <c r="R11" s="66" t="s">
        <v>29</v>
      </c>
      <c r="S11" s="4" t="s">
        <v>161</v>
      </c>
      <c r="T11" s="67">
        <f t="shared" si="2"/>
        <v>45315</v>
      </c>
      <c r="U11" s="67">
        <v>45315</v>
      </c>
      <c r="V11" s="4">
        <f t="shared" ca="1" si="3"/>
        <v>0</v>
      </c>
      <c r="W11" s="4" t="str">
        <f t="shared" ca="1" si="4"/>
        <v>NO PRAZO</v>
      </c>
      <c r="X11" s="67">
        <f t="shared" si="5"/>
        <v>45316</v>
      </c>
      <c r="Y11" s="67">
        <v>45316</v>
      </c>
      <c r="Z11" s="4">
        <f t="shared" ca="1" si="6"/>
        <v>0</v>
      </c>
      <c r="AA11" s="4" t="str">
        <f t="shared" ca="1" si="7"/>
        <v>NO PRAZO</v>
      </c>
      <c r="AB11" s="67">
        <f t="shared" si="8"/>
        <v>45316</v>
      </c>
      <c r="AC11" s="67">
        <v>45316</v>
      </c>
      <c r="AD11" s="4">
        <f t="shared" ca="1" si="9"/>
        <v>0</v>
      </c>
      <c r="AE11" s="4" t="str">
        <f t="shared" ca="1" si="10"/>
        <v>NO PRAZO</v>
      </c>
      <c r="AF11" s="67">
        <f t="shared" si="11"/>
        <v>45323</v>
      </c>
      <c r="AG11" s="67">
        <v>45323</v>
      </c>
      <c r="AH11" s="4">
        <f t="shared" ca="1" si="12"/>
        <v>0</v>
      </c>
      <c r="AI11" s="4" t="str">
        <f t="shared" ca="1" si="13"/>
        <v>NO PRAZO</v>
      </c>
      <c r="AJ11" s="67">
        <f t="shared" si="14"/>
        <v>45324</v>
      </c>
      <c r="AK11" s="67">
        <v>45324</v>
      </c>
      <c r="AL11" s="4">
        <f t="shared" ca="1" si="15"/>
        <v>0</v>
      </c>
      <c r="AM11" s="4" t="str">
        <f t="shared" ca="1" si="16"/>
        <v>NO PRAZO</v>
      </c>
      <c r="AN11" s="67">
        <f t="shared" si="17"/>
        <v>45325</v>
      </c>
      <c r="AO11" s="67">
        <v>45325</v>
      </c>
      <c r="AP11" s="4">
        <f t="shared" ca="1" si="18"/>
        <v>0</v>
      </c>
      <c r="AQ11" s="4" t="str">
        <f t="shared" ca="1" si="19"/>
        <v>NO PRAZO</v>
      </c>
      <c r="AR11" s="67"/>
      <c r="AS11" s="67"/>
      <c r="AT11" s="67"/>
      <c r="AU11" s="71" t="s">
        <v>258</v>
      </c>
      <c r="AV11" s="66" t="s">
        <v>101</v>
      </c>
      <c r="AW11" s="66"/>
    </row>
    <row r="12" spans="2:49" ht="39.6" x14ac:dyDescent="0.3">
      <c r="B12" s="69" t="str">
        <f>IF(Tabela1[[#This Row],[DATA]],PROPER(TEXT(Tabela1[[#This Row],[DATA]],"mmm")),"")</f>
        <v>Jan</v>
      </c>
      <c r="C12" s="67">
        <v>45322</v>
      </c>
      <c r="D12" s="67" t="str">
        <f t="shared" si="0"/>
        <v>Quarta</v>
      </c>
      <c r="E12" s="148"/>
      <c r="F12" s="67" t="str">
        <f t="shared" si="1"/>
        <v/>
      </c>
      <c r="G12" s="67" t="s">
        <v>157</v>
      </c>
      <c r="H12" s="4" t="s">
        <v>482</v>
      </c>
      <c r="I12" s="4" t="s">
        <v>84</v>
      </c>
      <c r="J12" s="4" t="s">
        <v>212</v>
      </c>
      <c r="K12" s="4"/>
      <c r="L12" s="74" t="s">
        <v>94</v>
      </c>
      <c r="M12" s="4" t="s">
        <v>95</v>
      </c>
      <c r="N12" s="4" t="s">
        <v>675</v>
      </c>
      <c r="O12" s="4" t="s">
        <v>96</v>
      </c>
      <c r="P12" s="4" t="s">
        <v>97</v>
      </c>
      <c r="Q12" s="4" t="s">
        <v>5</v>
      </c>
      <c r="R12" s="66" t="s">
        <v>29</v>
      </c>
      <c r="S12" s="4" t="s">
        <v>161</v>
      </c>
      <c r="T12" s="67">
        <f t="shared" si="2"/>
        <v>45322</v>
      </c>
      <c r="U12" s="67">
        <v>45322</v>
      </c>
      <c r="V12" s="4">
        <f t="shared" ca="1" si="3"/>
        <v>0</v>
      </c>
      <c r="W12" s="4" t="str">
        <f t="shared" ca="1" si="4"/>
        <v>NO PRAZO</v>
      </c>
      <c r="X12" s="67">
        <f t="shared" si="5"/>
        <v>45323</v>
      </c>
      <c r="Y12" s="67">
        <v>45323</v>
      </c>
      <c r="Z12" s="4">
        <f t="shared" ca="1" si="6"/>
        <v>0</v>
      </c>
      <c r="AA12" s="4" t="str">
        <f t="shared" ca="1" si="7"/>
        <v>NO PRAZO</v>
      </c>
      <c r="AB12" s="67">
        <f t="shared" si="8"/>
        <v>45323</v>
      </c>
      <c r="AC12" s="67">
        <v>45323</v>
      </c>
      <c r="AD12" s="4">
        <f t="shared" ca="1" si="9"/>
        <v>0</v>
      </c>
      <c r="AE12" s="4" t="str">
        <f t="shared" ca="1" si="10"/>
        <v>NO PRAZO</v>
      </c>
      <c r="AF12" s="67">
        <f t="shared" si="11"/>
        <v>45330</v>
      </c>
      <c r="AG12" s="67">
        <v>45330</v>
      </c>
      <c r="AH12" s="4">
        <f t="shared" ca="1" si="12"/>
        <v>0</v>
      </c>
      <c r="AI12" s="4" t="str">
        <f t="shared" ca="1" si="13"/>
        <v>NO PRAZO</v>
      </c>
      <c r="AJ12" s="67">
        <f t="shared" si="14"/>
        <v>45331</v>
      </c>
      <c r="AK12" s="67">
        <v>45331</v>
      </c>
      <c r="AL12" s="4">
        <f t="shared" ca="1" si="15"/>
        <v>0</v>
      </c>
      <c r="AM12" s="4" t="str">
        <f t="shared" ca="1" si="16"/>
        <v>NO PRAZO</v>
      </c>
      <c r="AN12" s="67">
        <f t="shared" si="17"/>
        <v>45332</v>
      </c>
      <c r="AO12" s="67">
        <v>45332</v>
      </c>
      <c r="AP12" s="4">
        <f t="shared" ca="1" si="18"/>
        <v>0</v>
      </c>
      <c r="AQ12" s="4" t="str">
        <f t="shared" ca="1" si="19"/>
        <v>NO PRAZO</v>
      </c>
      <c r="AR12" s="67"/>
      <c r="AS12" s="67"/>
      <c r="AT12" s="67"/>
      <c r="AU12" s="71" t="s">
        <v>258</v>
      </c>
      <c r="AV12" s="66" t="s">
        <v>101</v>
      </c>
      <c r="AW12" s="66"/>
    </row>
    <row r="13" spans="2:49" ht="26.4" x14ac:dyDescent="0.3">
      <c r="B13" s="69" t="str">
        <f>IF(Tabela1[[#This Row],[DATA]],PROPER(TEXT(Tabela1[[#This Row],[DATA]],"mmm")),"")</f>
        <v>Fev</v>
      </c>
      <c r="C13" s="68">
        <v>45323</v>
      </c>
      <c r="D13" s="68" t="str">
        <f t="shared" si="0"/>
        <v>Quinta</v>
      </c>
      <c r="E13" s="68"/>
      <c r="F13" s="67" t="str">
        <f t="shared" si="1"/>
        <v/>
      </c>
      <c r="G13" s="68" t="s">
        <v>114</v>
      </c>
      <c r="H13" s="4" t="s">
        <v>500</v>
      </c>
      <c r="I13" s="47" t="s">
        <v>115</v>
      </c>
      <c r="J13" s="47" t="s">
        <v>272</v>
      </c>
      <c r="K13" s="47"/>
      <c r="L13" s="133" t="s">
        <v>116</v>
      </c>
      <c r="M13" s="47" t="s">
        <v>117</v>
      </c>
      <c r="N13" s="4" t="s">
        <v>675</v>
      </c>
      <c r="O13" s="47" t="s">
        <v>118</v>
      </c>
      <c r="P13" s="47" t="s">
        <v>26</v>
      </c>
      <c r="Q13" s="47" t="s">
        <v>5</v>
      </c>
      <c r="R13" s="66" t="s">
        <v>29</v>
      </c>
      <c r="S13" s="47" t="s">
        <v>159</v>
      </c>
      <c r="T13" s="68">
        <f t="shared" si="2"/>
        <v>45323</v>
      </c>
      <c r="U13" s="68">
        <v>45323</v>
      </c>
      <c r="V13" s="47">
        <f t="shared" ca="1" si="3"/>
        <v>0</v>
      </c>
      <c r="W13" s="47" t="str">
        <f t="shared" ca="1" si="4"/>
        <v>NO PRAZO</v>
      </c>
      <c r="X13" s="68">
        <f t="shared" si="5"/>
        <v>45324</v>
      </c>
      <c r="Y13" s="68">
        <v>45324</v>
      </c>
      <c r="Z13" s="47">
        <f t="shared" ca="1" si="6"/>
        <v>0</v>
      </c>
      <c r="AA13" s="47" t="str">
        <f t="shared" ca="1" si="7"/>
        <v>NO PRAZO</v>
      </c>
      <c r="AB13" s="68">
        <f t="shared" si="8"/>
        <v>45324</v>
      </c>
      <c r="AC13" s="68">
        <v>45324</v>
      </c>
      <c r="AD13" s="47">
        <f t="shared" ca="1" si="9"/>
        <v>0</v>
      </c>
      <c r="AE13" s="47" t="str">
        <f t="shared" ca="1" si="10"/>
        <v>NO PRAZO</v>
      </c>
      <c r="AF13" s="68">
        <f t="shared" si="11"/>
        <v>45331</v>
      </c>
      <c r="AG13" s="68">
        <v>45324</v>
      </c>
      <c r="AH13" s="47">
        <f t="shared" ca="1" si="12"/>
        <v>-7</v>
      </c>
      <c r="AI13" s="47" t="str">
        <f t="shared" ca="1" si="13"/>
        <v>NO PRAZO</v>
      </c>
      <c r="AJ13" s="68">
        <f t="shared" si="14"/>
        <v>45332</v>
      </c>
      <c r="AK13" s="68">
        <v>45332</v>
      </c>
      <c r="AL13" s="47">
        <f t="shared" ca="1" si="15"/>
        <v>0</v>
      </c>
      <c r="AM13" s="47" t="str">
        <f t="shared" ca="1" si="16"/>
        <v>NO PRAZO</v>
      </c>
      <c r="AN13" s="68">
        <f t="shared" si="17"/>
        <v>45333</v>
      </c>
      <c r="AO13" s="68">
        <v>45333</v>
      </c>
      <c r="AP13" s="47">
        <f t="shared" ca="1" si="18"/>
        <v>0</v>
      </c>
      <c r="AQ13" s="47" t="str">
        <f t="shared" ca="1" si="19"/>
        <v>NO PRAZO</v>
      </c>
      <c r="AR13" s="68"/>
      <c r="AS13" s="68"/>
      <c r="AT13" s="68"/>
      <c r="AU13" s="71" t="s">
        <v>257</v>
      </c>
      <c r="AV13" s="66" t="s">
        <v>101</v>
      </c>
      <c r="AW13" s="66"/>
    </row>
    <row r="14" spans="2:49" ht="39.6" x14ac:dyDescent="0.3">
      <c r="B14" s="69" t="str">
        <f>IF(Tabela1[[#This Row],[DATA]],PROPER(TEXT(Tabela1[[#This Row],[DATA]],"mmm")),"")</f>
        <v>Fev</v>
      </c>
      <c r="C14" s="68">
        <v>45337</v>
      </c>
      <c r="D14" s="68" t="str">
        <f t="shared" si="0"/>
        <v>Quinta</v>
      </c>
      <c r="E14" s="68"/>
      <c r="F14" s="67" t="str">
        <f t="shared" si="1"/>
        <v/>
      </c>
      <c r="G14" s="68" t="s">
        <v>137</v>
      </c>
      <c r="H14" s="4" t="s">
        <v>483</v>
      </c>
      <c r="I14" s="47" t="s">
        <v>84</v>
      </c>
      <c r="J14" s="47" t="s">
        <v>212</v>
      </c>
      <c r="K14" s="47"/>
      <c r="L14" s="133" t="s">
        <v>138</v>
      </c>
      <c r="M14" s="47" t="s">
        <v>91</v>
      </c>
      <c r="N14" s="4" t="s">
        <v>675</v>
      </c>
      <c r="O14" s="47" t="s">
        <v>139</v>
      </c>
      <c r="P14" s="47" t="s">
        <v>97</v>
      </c>
      <c r="Q14" s="47" t="s">
        <v>5</v>
      </c>
      <c r="R14" s="66" t="s">
        <v>29</v>
      </c>
      <c r="S14" s="47" t="s">
        <v>161</v>
      </c>
      <c r="T14" s="68">
        <f t="shared" si="2"/>
        <v>45337</v>
      </c>
      <c r="U14" s="68">
        <v>45337</v>
      </c>
      <c r="V14" s="47">
        <f t="shared" ca="1" si="3"/>
        <v>0</v>
      </c>
      <c r="W14" s="47" t="str">
        <f t="shared" ca="1" si="4"/>
        <v>NO PRAZO</v>
      </c>
      <c r="X14" s="68">
        <f t="shared" si="5"/>
        <v>45338</v>
      </c>
      <c r="Y14" s="68">
        <v>45338</v>
      </c>
      <c r="Z14" s="47">
        <f t="shared" ca="1" si="6"/>
        <v>0</v>
      </c>
      <c r="AA14" s="47" t="str">
        <f t="shared" ca="1" si="7"/>
        <v>NO PRAZO</v>
      </c>
      <c r="AB14" s="68">
        <f t="shared" si="8"/>
        <v>45338</v>
      </c>
      <c r="AC14" s="68">
        <v>45338</v>
      </c>
      <c r="AD14" s="47">
        <f t="shared" ca="1" si="9"/>
        <v>0</v>
      </c>
      <c r="AE14" s="47" t="str">
        <f t="shared" ca="1" si="10"/>
        <v>NO PRAZO</v>
      </c>
      <c r="AF14" s="68">
        <f t="shared" si="11"/>
        <v>45345</v>
      </c>
      <c r="AG14" s="68">
        <v>45345</v>
      </c>
      <c r="AH14" s="47">
        <f t="shared" ca="1" si="12"/>
        <v>0</v>
      </c>
      <c r="AI14" s="47" t="str">
        <f t="shared" ca="1" si="13"/>
        <v>NO PRAZO</v>
      </c>
      <c r="AJ14" s="68">
        <f t="shared" si="14"/>
        <v>45346</v>
      </c>
      <c r="AK14" s="68">
        <v>45346</v>
      </c>
      <c r="AL14" s="47">
        <f t="shared" ca="1" si="15"/>
        <v>0</v>
      </c>
      <c r="AM14" s="47" t="str">
        <f t="shared" ca="1" si="16"/>
        <v>NO PRAZO</v>
      </c>
      <c r="AN14" s="68">
        <f t="shared" si="17"/>
        <v>45347</v>
      </c>
      <c r="AO14" s="68">
        <v>45347</v>
      </c>
      <c r="AP14" s="47">
        <f t="shared" ca="1" si="18"/>
        <v>0</v>
      </c>
      <c r="AQ14" s="47" t="str">
        <f t="shared" ca="1" si="19"/>
        <v>NO PRAZO</v>
      </c>
      <c r="AR14" s="68"/>
      <c r="AS14" s="68"/>
      <c r="AT14" s="68"/>
      <c r="AU14" s="71" t="s">
        <v>258</v>
      </c>
      <c r="AV14" s="66" t="s">
        <v>101</v>
      </c>
      <c r="AW14" s="66"/>
    </row>
    <row r="15" spans="2:49" ht="26.4" x14ac:dyDescent="0.3">
      <c r="B15" s="69" t="str">
        <f>IF(Tabela1[[#This Row],[DATA]],PROPER(TEXT(Tabela1[[#This Row],[DATA]],"mmm")),"")</f>
        <v>Fev</v>
      </c>
      <c r="C15" s="68">
        <v>45344</v>
      </c>
      <c r="D15" s="68" t="str">
        <f t="shared" si="0"/>
        <v>Quinta</v>
      </c>
      <c r="E15" s="68"/>
      <c r="F15" s="67" t="str">
        <f t="shared" si="1"/>
        <v/>
      </c>
      <c r="G15" s="68" t="s">
        <v>143</v>
      </c>
      <c r="H15" s="4" t="s">
        <v>501</v>
      </c>
      <c r="I15" s="47" t="s">
        <v>115</v>
      </c>
      <c r="J15" s="47" t="s">
        <v>212</v>
      </c>
      <c r="K15" s="47"/>
      <c r="L15" s="133" t="s">
        <v>144</v>
      </c>
      <c r="M15" s="47" t="s">
        <v>117</v>
      </c>
      <c r="N15" s="4" t="s">
        <v>675</v>
      </c>
      <c r="O15" s="47" t="s">
        <v>145</v>
      </c>
      <c r="P15" s="47" t="s">
        <v>79</v>
      </c>
      <c r="Q15" s="47" t="s">
        <v>5</v>
      </c>
      <c r="R15" s="66" t="s">
        <v>29</v>
      </c>
      <c r="S15" s="47" t="s">
        <v>161</v>
      </c>
      <c r="T15" s="68">
        <f t="shared" si="2"/>
        <v>45344</v>
      </c>
      <c r="U15" s="68">
        <v>45344</v>
      </c>
      <c r="V15" s="47">
        <f t="shared" ca="1" si="3"/>
        <v>0</v>
      </c>
      <c r="W15" s="47" t="str">
        <f t="shared" ca="1" si="4"/>
        <v>NO PRAZO</v>
      </c>
      <c r="X15" s="68">
        <f t="shared" si="5"/>
        <v>45345</v>
      </c>
      <c r="Y15" s="68">
        <v>45345</v>
      </c>
      <c r="Z15" s="47">
        <f t="shared" ca="1" si="6"/>
        <v>0</v>
      </c>
      <c r="AA15" s="47" t="str">
        <f t="shared" ca="1" si="7"/>
        <v>NO PRAZO</v>
      </c>
      <c r="AB15" s="68">
        <f t="shared" si="8"/>
        <v>45345</v>
      </c>
      <c r="AC15" s="68">
        <v>45345</v>
      </c>
      <c r="AD15" s="47">
        <f t="shared" ca="1" si="9"/>
        <v>0</v>
      </c>
      <c r="AE15" s="47" t="str">
        <f t="shared" ca="1" si="10"/>
        <v>NO PRAZO</v>
      </c>
      <c r="AF15" s="68">
        <f t="shared" si="11"/>
        <v>45352</v>
      </c>
      <c r="AG15" s="68">
        <v>45352</v>
      </c>
      <c r="AH15" s="47">
        <f t="shared" ca="1" si="12"/>
        <v>0</v>
      </c>
      <c r="AI15" s="47" t="str">
        <f t="shared" ca="1" si="13"/>
        <v>NO PRAZO</v>
      </c>
      <c r="AJ15" s="68">
        <f t="shared" si="14"/>
        <v>45353</v>
      </c>
      <c r="AK15" s="68">
        <v>45353</v>
      </c>
      <c r="AL15" s="47">
        <f t="shared" ca="1" si="15"/>
        <v>0</v>
      </c>
      <c r="AM15" s="47" t="str">
        <f t="shared" ca="1" si="16"/>
        <v>NO PRAZO</v>
      </c>
      <c r="AN15" s="68">
        <f t="shared" si="17"/>
        <v>45354</v>
      </c>
      <c r="AO15" s="68">
        <v>45354</v>
      </c>
      <c r="AP15" s="47">
        <f t="shared" ca="1" si="18"/>
        <v>0</v>
      </c>
      <c r="AQ15" s="47" t="str">
        <f t="shared" ca="1" si="19"/>
        <v>NO PRAZO</v>
      </c>
      <c r="AR15" s="68"/>
      <c r="AS15" s="68"/>
      <c r="AT15" s="68"/>
      <c r="AU15" s="71" t="s">
        <v>258</v>
      </c>
      <c r="AV15" s="66" t="s">
        <v>101</v>
      </c>
      <c r="AW15" s="66"/>
    </row>
    <row r="16" spans="2:49" x14ac:dyDescent="0.3">
      <c r="B16" s="69" t="str">
        <f>IF(Tabela1[[#This Row],[DATA]],PROPER(TEXT(Tabela1[[#This Row],[DATA]],"mmm")),"")</f>
        <v>Fev</v>
      </c>
      <c r="C16" s="68">
        <v>45345</v>
      </c>
      <c r="D16" s="68" t="str">
        <f t="shared" si="0"/>
        <v>Sexta</v>
      </c>
      <c r="E16" s="68"/>
      <c r="F16" s="67" t="str">
        <f t="shared" si="1"/>
        <v/>
      </c>
      <c r="G16" s="68" t="s">
        <v>146</v>
      </c>
      <c r="H16" s="60" t="s">
        <v>510</v>
      </c>
      <c r="I16" s="47" t="s">
        <v>84</v>
      </c>
      <c r="J16" s="47" t="s">
        <v>261</v>
      </c>
      <c r="K16" s="47"/>
      <c r="L16" s="133" t="s">
        <v>148</v>
      </c>
      <c r="M16" s="47" t="s">
        <v>158</v>
      </c>
      <c r="N16" s="4" t="s">
        <v>675</v>
      </c>
      <c r="O16" s="47" t="s">
        <v>25</v>
      </c>
      <c r="P16" s="47" t="s">
        <v>26</v>
      </c>
      <c r="Q16" s="47" t="s">
        <v>5</v>
      </c>
      <c r="R16" s="66" t="s">
        <v>29</v>
      </c>
      <c r="S16" s="47" t="s">
        <v>160</v>
      </c>
      <c r="T16" s="68">
        <f t="shared" si="2"/>
        <v>45345</v>
      </c>
      <c r="U16" s="68">
        <v>45345</v>
      </c>
      <c r="V16" s="47">
        <f t="shared" ca="1" si="3"/>
        <v>0</v>
      </c>
      <c r="W16" s="47" t="str">
        <f t="shared" ca="1" si="4"/>
        <v>NO PRAZO</v>
      </c>
      <c r="X16" s="68">
        <f t="shared" si="5"/>
        <v>45346</v>
      </c>
      <c r="Y16" s="68">
        <v>45346</v>
      </c>
      <c r="Z16" s="47">
        <f t="shared" ca="1" si="6"/>
        <v>0</v>
      </c>
      <c r="AA16" s="47" t="str">
        <f t="shared" ca="1" si="7"/>
        <v>NO PRAZO</v>
      </c>
      <c r="AB16" s="68">
        <f t="shared" si="8"/>
        <v>45346</v>
      </c>
      <c r="AC16" s="68">
        <v>45346</v>
      </c>
      <c r="AD16" s="47">
        <f t="shared" ca="1" si="9"/>
        <v>0</v>
      </c>
      <c r="AE16" s="47" t="str">
        <f t="shared" ca="1" si="10"/>
        <v>NO PRAZO</v>
      </c>
      <c r="AF16" s="68">
        <f t="shared" si="11"/>
        <v>45353</v>
      </c>
      <c r="AG16" s="68">
        <v>45323</v>
      </c>
      <c r="AH16" s="47">
        <f t="shared" ca="1" si="12"/>
        <v>-30</v>
      </c>
      <c r="AI16" s="47" t="str">
        <f t="shared" ca="1" si="13"/>
        <v>NO PRAZO</v>
      </c>
      <c r="AJ16" s="68">
        <f t="shared" si="14"/>
        <v>45354</v>
      </c>
      <c r="AK16" s="68">
        <v>45354</v>
      </c>
      <c r="AL16" s="47">
        <f t="shared" ca="1" si="15"/>
        <v>0</v>
      </c>
      <c r="AM16" s="47" t="str">
        <f t="shared" ca="1" si="16"/>
        <v>NO PRAZO</v>
      </c>
      <c r="AN16" s="68">
        <f t="shared" si="17"/>
        <v>45355</v>
      </c>
      <c r="AO16" s="68">
        <v>45355</v>
      </c>
      <c r="AP16" s="47">
        <f t="shared" ca="1" si="18"/>
        <v>0</v>
      </c>
      <c r="AQ16" s="47" t="str">
        <f t="shared" ca="1" si="19"/>
        <v>NO PRAZO</v>
      </c>
      <c r="AR16" s="68"/>
      <c r="AS16" s="68"/>
      <c r="AT16" s="68"/>
      <c r="AU16" s="71" t="s">
        <v>257</v>
      </c>
      <c r="AV16" s="66" t="s">
        <v>101</v>
      </c>
      <c r="AW16" s="66"/>
    </row>
    <row r="17" spans="2:49" ht="26.4" x14ac:dyDescent="0.3">
      <c r="B17" s="69" t="str">
        <f>IF(Tabela1[[#This Row],[DATA]],PROPER(TEXT(Tabela1[[#This Row],[DATA]],"mmm")),"")</f>
        <v>Fev</v>
      </c>
      <c r="C17" s="68">
        <v>45346</v>
      </c>
      <c r="D17" s="68" t="str">
        <f t="shared" si="0"/>
        <v>Sábado</v>
      </c>
      <c r="E17" s="68"/>
      <c r="F17" s="67" t="str">
        <f t="shared" si="1"/>
        <v/>
      </c>
      <c r="G17" s="68" t="s">
        <v>150</v>
      </c>
      <c r="H17" s="4" t="s">
        <v>480</v>
      </c>
      <c r="I17" s="47" t="s">
        <v>84</v>
      </c>
      <c r="J17" s="66" t="s">
        <v>300</v>
      </c>
      <c r="K17" s="66"/>
      <c r="L17" s="133" t="s">
        <v>151</v>
      </c>
      <c r="M17" s="47" t="s">
        <v>86</v>
      </c>
      <c r="N17" s="4" t="s">
        <v>676</v>
      </c>
      <c r="O17" s="47" t="s">
        <v>118</v>
      </c>
      <c r="P17" s="47" t="s">
        <v>26</v>
      </c>
      <c r="Q17" s="47" t="s">
        <v>5</v>
      </c>
      <c r="R17" s="66" t="s">
        <v>29</v>
      </c>
      <c r="S17" s="47" t="s">
        <v>161</v>
      </c>
      <c r="T17" s="68">
        <f t="shared" si="2"/>
        <v>45346</v>
      </c>
      <c r="U17" s="68">
        <v>45346</v>
      </c>
      <c r="V17" s="47">
        <f t="shared" ca="1" si="3"/>
        <v>0</v>
      </c>
      <c r="W17" s="47" t="str">
        <f t="shared" ca="1" si="4"/>
        <v>NO PRAZO</v>
      </c>
      <c r="X17" s="68">
        <f t="shared" si="5"/>
        <v>45347</v>
      </c>
      <c r="Y17" s="68">
        <v>45346</v>
      </c>
      <c r="Z17" s="47">
        <f t="shared" ca="1" si="6"/>
        <v>-1</v>
      </c>
      <c r="AA17" s="47" t="str">
        <f t="shared" ca="1" si="7"/>
        <v>NO PRAZO</v>
      </c>
      <c r="AB17" s="68">
        <f t="shared" si="8"/>
        <v>45347</v>
      </c>
      <c r="AC17" s="68">
        <v>45347</v>
      </c>
      <c r="AD17" s="47">
        <f t="shared" ca="1" si="9"/>
        <v>0</v>
      </c>
      <c r="AE17" s="47" t="str">
        <f t="shared" ca="1" si="10"/>
        <v>NO PRAZO</v>
      </c>
      <c r="AF17" s="68">
        <f t="shared" si="11"/>
        <v>45354</v>
      </c>
      <c r="AG17" s="68">
        <v>45354</v>
      </c>
      <c r="AH17" s="47">
        <f t="shared" ca="1" si="12"/>
        <v>0</v>
      </c>
      <c r="AI17" s="47" t="str">
        <f t="shared" ca="1" si="13"/>
        <v>NO PRAZO</v>
      </c>
      <c r="AJ17" s="68">
        <f t="shared" si="14"/>
        <v>45355</v>
      </c>
      <c r="AK17" s="68">
        <v>45355</v>
      </c>
      <c r="AL17" s="47">
        <f t="shared" ca="1" si="15"/>
        <v>0</v>
      </c>
      <c r="AM17" s="47" t="str">
        <f t="shared" ca="1" si="16"/>
        <v>NO PRAZO</v>
      </c>
      <c r="AN17" s="68">
        <f t="shared" si="17"/>
        <v>45356</v>
      </c>
      <c r="AO17" s="68">
        <v>45356</v>
      </c>
      <c r="AP17" s="47">
        <f t="shared" ca="1" si="18"/>
        <v>0</v>
      </c>
      <c r="AQ17" s="47" t="str">
        <f t="shared" ca="1" si="19"/>
        <v>NO PRAZO</v>
      </c>
      <c r="AR17" s="68"/>
      <c r="AS17" s="68"/>
      <c r="AT17" s="68"/>
      <c r="AU17" s="71" t="s">
        <v>601</v>
      </c>
      <c r="AV17" s="66" t="s">
        <v>101</v>
      </c>
      <c r="AW17" s="66"/>
    </row>
    <row r="18" spans="2:49" ht="79.2" x14ac:dyDescent="0.3">
      <c r="B18" s="69" t="str">
        <f>IF(Tabela1[[#This Row],[DATA]],PROPER(TEXT(Tabela1[[#This Row],[DATA]],"mmm")),"")</f>
        <v>Fev</v>
      </c>
      <c r="C18" s="68">
        <v>45348</v>
      </c>
      <c r="D18" s="68" t="str">
        <f t="shared" si="0"/>
        <v>Segunda</v>
      </c>
      <c r="E18" s="68"/>
      <c r="F18" s="67" t="str">
        <f t="shared" si="1"/>
        <v/>
      </c>
      <c r="G18" s="68" t="s">
        <v>187</v>
      </c>
      <c r="H18" s="60" t="s">
        <v>511</v>
      </c>
      <c r="I18" s="47" t="s">
        <v>84</v>
      </c>
      <c r="J18" s="47" t="s">
        <v>212</v>
      </c>
      <c r="K18" s="47"/>
      <c r="L18" s="74" t="s">
        <v>186</v>
      </c>
      <c r="M18" s="47" t="s">
        <v>188</v>
      </c>
      <c r="N18" s="4" t="s">
        <v>675</v>
      </c>
      <c r="O18" s="4" t="s">
        <v>250</v>
      </c>
      <c r="P18" s="47" t="s">
        <v>26</v>
      </c>
      <c r="Q18" s="47" t="s">
        <v>5</v>
      </c>
      <c r="R18" s="66" t="s">
        <v>29</v>
      </c>
      <c r="S18" s="47" t="s">
        <v>161</v>
      </c>
      <c r="T18" s="68">
        <f t="shared" si="2"/>
        <v>45348</v>
      </c>
      <c r="U18" s="68">
        <v>45348</v>
      </c>
      <c r="V18" s="47">
        <f t="shared" ca="1" si="3"/>
        <v>0</v>
      </c>
      <c r="W18" s="47" t="str">
        <f t="shared" ca="1" si="4"/>
        <v>NO PRAZO</v>
      </c>
      <c r="X18" s="68">
        <f t="shared" si="5"/>
        <v>45349</v>
      </c>
      <c r="Y18" s="68">
        <v>45346</v>
      </c>
      <c r="Z18" s="47">
        <f t="shared" ca="1" si="6"/>
        <v>-3</v>
      </c>
      <c r="AA18" s="47" t="str">
        <f t="shared" ca="1" si="7"/>
        <v>NO PRAZO</v>
      </c>
      <c r="AB18" s="68">
        <f t="shared" si="8"/>
        <v>45349</v>
      </c>
      <c r="AC18" s="68">
        <v>45349</v>
      </c>
      <c r="AD18" s="47">
        <f t="shared" ca="1" si="9"/>
        <v>0</v>
      </c>
      <c r="AE18" s="47" t="str">
        <f t="shared" ca="1" si="10"/>
        <v>NO PRAZO</v>
      </c>
      <c r="AF18" s="68">
        <f t="shared" si="11"/>
        <v>45356</v>
      </c>
      <c r="AG18" s="68">
        <v>45356</v>
      </c>
      <c r="AH18" s="47">
        <f t="shared" ca="1" si="12"/>
        <v>0</v>
      </c>
      <c r="AI18" s="47" t="str">
        <f t="shared" ca="1" si="13"/>
        <v>NO PRAZO</v>
      </c>
      <c r="AJ18" s="68">
        <f t="shared" si="14"/>
        <v>45357</v>
      </c>
      <c r="AK18" s="68">
        <v>45357</v>
      </c>
      <c r="AL18" s="47">
        <f t="shared" ca="1" si="15"/>
        <v>0</v>
      </c>
      <c r="AM18" s="47" t="str">
        <f t="shared" ca="1" si="16"/>
        <v>NO PRAZO</v>
      </c>
      <c r="AN18" s="68">
        <f t="shared" si="17"/>
        <v>45358</v>
      </c>
      <c r="AO18" s="68">
        <v>45358</v>
      </c>
      <c r="AP18" s="47">
        <f t="shared" ca="1" si="18"/>
        <v>0</v>
      </c>
      <c r="AQ18" s="47" t="str">
        <f t="shared" ca="1" si="19"/>
        <v>NO PRAZO</v>
      </c>
      <c r="AR18" s="68"/>
      <c r="AS18" s="68"/>
      <c r="AT18" s="68"/>
      <c r="AU18" s="71" t="s">
        <v>258</v>
      </c>
      <c r="AV18" s="66" t="s">
        <v>101</v>
      </c>
      <c r="AW18" s="66"/>
    </row>
    <row r="19" spans="2:49" x14ac:dyDescent="0.3">
      <c r="B19" s="69" t="str">
        <f>IF(Tabela1[[#This Row],[DATA]],PROPER(TEXT(Tabela1[[#This Row],[DATA]],"mmm")),"")</f>
        <v>Mar</v>
      </c>
      <c r="C19" s="68">
        <v>45366</v>
      </c>
      <c r="D19" s="68" t="str">
        <f t="shared" si="0"/>
        <v>Sexta</v>
      </c>
      <c r="E19" s="68"/>
      <c r="F19" s="67" t="str">
        <f t="shared" si="1"/>
        <v/>
      </c>
      <c r="G19" s="68" t="s">
        <v>180</v>
      </c>
      <c r="H19" s="4" t="s">
        <v>484</v>
      </c>
      <c r="I19" s="47" t="s">
        <v>84</v>
      </c>
      <c r="J19" s="4" t="s">
        <v>212</v>
      </c>
      <c r="K19" s="4"/>
      <c r="L19" s="133" t="s">
        <v>181</v>
      </c>
      <c r="M19" s="68" t="s">
        <v>182</v>
      </c>
      <c r="N19" s="4" t="s">
        <v>675</v>
      </c>
      <c r="O19" s="47" t="s">
        <v>78</v>
      </c>
      <c r="P19" s="47" t="s">
        <v>79</v>
      </c>
      <c r="Q19" s="47" t="s">
        <v>5</v>
      </c>
      <c r="R19" s="66" t="s">
        <v>29</v>
      </c>
      <c r="S19" s="47" t="s">
        <v>161</v>
      </c>
      <c r="T19" s="68">
        <f t="shared" si="2"/>
        <v>45366</v>
      </c>
      <c r="U19" s="68">
        <v>45366</v>
      </c>
      <c r="V19" s="47">
        <f t="shared" ca="1" si="3"/>
        <v>0</v>
      </c>
      <c r="W19" s="47" t="str">
        <f t="shared" ca="1" si="4"/>
        <v>NO PRAZO</v>
      </c>
      <c r="X19" s="68">
        <f t="shared" si="5"/>
        <v>45367</v>
      </c>
      <c r="Y19" s="68">
        <v>45367</v>
      </c>
      <c r="Z19" s="47">
        <f t="shared" ca="1" si="6"/>
        <v>0</v>
      </c>
      <c r="AA19" s="47" t="str">
        <f t="shared" ca="1" si="7"/>
        <v>NO PRAZO</v>
      </c>
      <c r="AB19" s="68">
        <f t="shared" si="8"/>
        <v>45367</v>
      </c>
      <c r="AC19" s="68">
        <v>45367</v>
      </c>
      <c r="AD19" s="47">
        <f t="shared" ca="1" si="9"/>
        <v>0</v>
      </c>
      <c r="AE19" s="47" t="str">
        <f t="shared" ca="1" si="10"/>
        <v>NO PRAZO</v>
      </c>
      <c r="AF19" s="68">
        <f t="shared" si="11"/>
        <v>45374</v>
      </c>
      <c r="AG19" s="68">
        <v>45374</v>
      </c>
      <c r="AH19" s="47">
        <f t="shared" ca="1" si="12"/>
        <v>0</v>
      </c>
      <c r="AI19" s="47" t="str">
        <f t="shared" ca="1" si="13"/>
        <v>NO PRAZO</v>
      </c>
      <c r="AJ19" s="68">
        <f t="shared" si="14"/>
        <v>45375</v>
      </c>
      <c r="AK19" s="68">
        <v>45375</v>
      </c>
      <c r="AL19" s="47">
        <f t="shared" ca="1" si="15"/>
        <v>0</v>
      </c>
      <c r="AM19" s="47" t="str">
        <f t="shared" ca="1" si="16"/>
        <v>NO PRAZO</v>
      </c>
      <c r="AN19" s="68">
        <f t="shared" si="17"/>
        <v>45376</v>
      </c>
      <c r="AO19" s="68">
        <v>45376</v>
      </c>
      <c r="AP19" s="47">
        <f t="shared" ca="1" si="18"/>
        <v>0</v>
      </c>
      <c r="AQ19" s="47" t="str">
        <f t="shared" ca="1" si="19"/>
        <v>NO PRAZO</v>
      </c>
      <c r="AR19" s="68"/>
      <c r="AS19" s="68"/>
      <c r="AT19" s="68"/>
      <c r="AU19" s="71" t="s">
        <v>258</v>
      </c>
      <c r="AV19" s="66" t="s">
        <v>101</v>
      </c>
      <c r="AW19" s="66"/>
    </row>
    <row r="20" spans="2:49" ht="52.8" x14ac:dyDescent="0.3">
      <c r="B20" s="69" t="str">
        <f>IF(Tabela1[[#This Row],[DATA]],PROPER(TEXT(Tabela1[[#This Row],[DATA]],"mmm")),"")</f>
        <v>Abr</v>
      </c>
      <c r="C20" s="68">
        <v>45391</v>
      </c>
      <c r="D20" s="68" t="str">
        <f t="shared" si="0"/>
        <v>Terça</v>
      </c>
      <c r="E20" s="68"/>
      <c r="F20" s="67" t="str">
        <f t="shared" si="1"/>
        <v/>
      </c>
      <c r="G20" s="68" t="s">
        <v>211</v>
      </c>
      <c r="H20" s="4" t="s">
        <v>459</v>
      </c>
      <c r="I20" s="47" t="s">
        <v>24</v>
      </c>
      <c r="J20" s="47" t="s">
        <v>212</v>
      </c>
      <c r="K20" s="47"/>
      <c r="L20" s="133" t="s">
        <v>213</v>
      </c>
      <c r="M20" s="47" t="s">
        <v>214</v>
      </c>
      <c r="N20" s="4" t="s">
        <v>675</v>
      </c>
      <c r="O20" s="47" t="s">
        <v>215</v>
      </c>
      <c r="P20" s="47" t="s">
        <v>97</v>
      </c>
      <c r="Q20" s="47" t="s">
        <v>5</v>
      </c>
      <c r="R20" s="66" t="s">
        <v>221</v>
      </c>
      <c r="S20" s="47"/>
      <c r="T20" s="68">
        <f t="shared" si="2"/>
        <v>45391</v>
      </c>
      <c r="U20" s="68">
        <v>45392</v>
      </c>
      <c r="V20" s="47">
        <f t="shared" ref="V20:V34" ca="1" si="20">IF($C20="","",IF(U20="",TODAY()-T20,U20-T20))</f>
        <v>1</v>
      </c>
      <c r="W20" s="47" t="str">
        <f t="shared" ref="W20:W34" ca="1" si="21">IF($C20="","",IF(AND($C20&lt;&gt;"",U20=""),IF(T20=TODAY(),"VENCE HOJE",IF(T20&lt;TODAY(),"ATRASADO","NO PRAZO")),IF(U20&lt;=T20,"NO PRAZO","ATRASADO")))</f>
        <v>ATRASADO</v>
      </c>
      <c r="X20" s="68">
        <f t="shared" ref="X20:X34" si="22">IF($C20="","",$C20+1)</f>
        <v>45392</v>
      </c>
      <c r="Y20" s="68">
        <v>45392</v>
      </c>
      <c r="Z20" s="47">
        <f t="shared" ref="Z20:Z34" ca="1" si="23">IF($C20="","",IF(Y20="",TODAY()-X20,Y20-X20))</f>
        <v>0</v>
      </c>
      <c r="AA20" s="47" t="str">
        <f t="shared" ref="AA20:AA34" ca="1" si="24">IF($C20="","",IF(AND($C20&lt;&gt;"",Y20=""),IF(X20=TODAY(),"VENCE HOJE",IF(X20&lt;TODAY(),"ATRASADO","NO PRAZO")),IF(Y20&lt;=X20,"NO PRAZO","ATRASADO")))</f>
        <v>NO PRAZO</v>
      </c>
      <c r="AB20" s="68">
        <f t="shared" si="8"/>
        <v>45392</v>
      </c>
      <c r="AC20" s="68">
        <v>45392</v>
      </c>
      <c r="AD20" s="47">
        <f t="shared" ref="AD20:AD34" ca="1" si="25">IF($C20="","",IF(AC20="",TODAY()-AB20,AC20-AB20))</f>
        <v>0</v>
      </c>
      <c r="AE20" s="47" t="str">
        <f t="shared" ref="AE20:AE34" ca="1" si="26">IF($C20="","",IF(AND($C20&lt;&gt;"",AC20=""),IF(AB20=TODAY(),"VENCE HOJE",IF(AB20&lt;TODAY(),"ATRASADO","NO PRAZO")),IF(AC20&lt;=AB20,"NO PRAZO","ATRASADO")))</f>
        <v>NO PRAZO</v>
      </c>
      <c r="AF20" s="68">
        <f t="shared" si="11"/>
        <v>45399</v>
      </c>
      <c r="AG20" s="68">
        <v>45399</v>
      </c>
      <c r="AH20" s="47">
        <f t="shared" ref="AH20:AH34" ca="1" si="27">IF($C20="","",IF(AG20="",TODAY()-AF20,AG20-AF20))</f>
        <v>0</v>
      </c>
      <c r="AI20" s="47" t="str">
        <f t="shared" ref="AI20:AI34" ca="1" si="28">IF($C20="","",IF(AND($C20&lt;&gt;"",AG20=""),IF(AF20=TODAY(),"VENCE HOJE",IF(AF20&lt;TODAY(),"ATRASADO","NO PRAZO")),IF(AG20&lt;=AF20,"NO PRAZO","ATRASADO")))</f>
        <v>NO PRAZO</v>
      </c>
      <c r="AJ20" s="68">
        <f t="shared" si="14"/>
        <v>45400</v>
      </c>
      <c r="AK20" s="68">
        <v>45400</v>
      </c>
      <c r="AL20" s="47">
        <f t="shared" ref="AL20:AL34" ca="1" si="29">IF($C20="","",IF(AK20="",TODAY()-AJ20,AK20-AJ20))</f>
        <v>0</v>
      </c>
      <c r="AM20" s="47" t="str">
        <f t="shared" ref="AM20:AM34" ca="1" si="30">IF($C20="","",IF(AND($C20&lt;&gt;"",AK20=""),IF(AJ20=TODAY(),"VENCE HOJE",IF(AJ20&lt;TODAY(),"ATRASADO","NO PRAZO")),IF(AK20&lt;=AJ20,"NO PRAZO","ATRASADO")))</f>
        <v>NO PRAZO</v>
      </c>
      <c r="AN20" s="68">
        <f t="shared" ref="AN20:AN34" si="31">IF($C20="","",$C20+10)</f>
        <v>45401</v>
      </c>
      <c r="AO20" s="68">
        <v>45401</v>
      </c>
      <c r="AP20" s="47">
        <f t="shared" ref="AP20:AP34" ca="1" si="32">IF($C20="","",IF(AO20="",TODAY()-AN20,AO20-AN20))</f>
        <v>0</v>
      </c>
      <c r="AQ20" s="47" t="str">
        <f t="shared" ref="AQ20:AQ34" ca="1" si="33">IF($C20="","",IF(AND($C20&lt;&gt;"",AO20=""),IF(AN20=TODAY(),"VENCE HOJE",IF(AN20&lt;TODAY(),"ATRASADO","NO PRAZO")),IF(AO20&lt;=AN20,"NO PRAZO","ATRASADO")))</f>
        <v>NO PRAZO</v>
      </c>
      <c r="AR20" s="68">
        <v>45418</v>
      </c>
      <c r="AS20" s="68">
        <v>45473</v>
      </c>
      <c r="AT20" s="68"/>
      <c r="AU20" s="71" t="s">
        <v>257</v>
      </c>
      <c r="AV20" s="66" t="s">
        <v>101</v>
      </c>
      <c r="AW20" s="66"/>
    </row>
    <row r="21" spans="2:49" ht="26.4" x14ac:dyDescent="0.3">
      <c r="B21" s="69" t="str">
        <f>IF(Tabela1[[#This Row],[DATA]],PROPER(TEXT(Tabela1[[#This Row],[DATA]],"mmm")),"")</f>
        <v>Mai</v>
      </c>
      <c r="C21" s="67">
        <v>45415</v>
      </c>
      <c r="D21" s="67" t="str">
        <f t="shared" si="0"/>
        <v>Sexta</v>
      </c>
      <c r="E21" s="67"/>
      <c r="F21" s="67" t="str">
        <f t="shared" si="1"/>
        <v/>
      </c>
      <c r="G21" s="67" t="s">
        <v>231</v>
      </c>
      <c r="H21" s="4" t="s">
        <v>458</v>
      </c>
      <c r="I21" s="4" t="s">
        <v>24</v>
      </c>
      <c r="J21" s="4" t="s">
        <v>264</v>
      </c>
      <c r="K21" s="4"/>
      <c r="L21" s="74" t="s">
        <v>232</v>
      </c>
      <c r="M21" s="4" t="s">
        <v>77</v>
      </c>
      <c r="N21" s="4" t="s">
        <v>675</v>
      </c>
      <c r="O21" s="4" t="s">
        <v>78</v>
      </c>
      <c r="P21" s="4" t="s">
        <v>79</v>
      </c>
      <c r="Q21" s="4" t="s">
        <v>5</v>
      </c>
      <c r="R21" s="66" t="s">
        <v>29</v>
      </c>
      <c r="S21" s="70" t="s">
        <v>233</v>
      </c>
      <c r="T21" s="67">
        <f t="shared" si="2"/>
        <v>45415</v>
      </c>
      <c r="U21" s="67">
        <v>45415</v>
      </c>
      <c r="V21" s="4">
        <f t="shared" ca="1" si="20"/>
        <v>0</v>
      </c>
      <c r="W21" s="4" t="str">
        <f t="shared" ca="1" si="21"/>
        <v>NO PRAZO</v>
      </c>
      <c r="X21" s="67">
        <f t="shared" si="22"/>
        <v>45416</v>
      </c>
      <c r="Y21" s="67">
        <v>45418</v>
      </c>
      <c r="Z21" s="4">
        <f t="shared" ca="1" si="23"/>
        <v>2</v>
      </c>
      <c r="AA21" s="4" t="str">
        <f t="shared" ca="1" si="24"/>
        <v>ATRASADO</v>
      </c>
      <c r="AB21" s="67">
        <f t="shared" si="8"/>
        <v>45416</v>
      </c>
      <c r="AC21" s="67">
        <v>45416</v>
      </c>
      <c r="AD21" s="4">
        <f t="shared" ca="1" si="25"/>
        <v>0</v>
      </c>
      <c r="AE21" s="4" t="str">
        <f t="shared" ca="1" si="26"/>
        <v>NO PRAZO</v>
      </c>
      <c r="AF21" s="67">
        <f t="shared" si="11"/>
        <v>45423</v>
      </c>
      <c r="AG21" s="67">
        <v>45423</v>
      </c>
      <c r="AH21" s="4">
        <f t="shared" ca="1" si="27"/>
        <v>0</v>
      </c>
      <c r="AI21" s="4" t="str">
        <f t="shared" ca="1" si="28"/>
        <v>NO PRAZO</v>
      </c>
      <c r="AJ21" s="67">
        <f t="shared" si="14"/>
        <v>45424</v>
      </c>
      <c r="AK21" s="67">
        <v>45424</v>
      </c>
      <c r="AL21" s="4">
        <f t="shared" ca="1" si="29"/>
        <v>0</v>
      </c>
      <c r="AM21" s="4" t="str">
        <f t="shared" ca="1" si="30"/>
        <v>NO PRAZO</v>
      </c>
      <c r="AN21" s="67">
        <f t="shared" si="31"/>
        <v>45425</v>
      </c>
      <c r="AO21" s="67">
        <v>45425</v>
      </c>
      <c r="AP21" s="4">
        <f t="shared" ca="1" si="32"/>
        <v>0</v>
      </c>
      <c r="AQ21" s="4" t="str">
        <f t="shared" ca="1" si="33"/>
        <v>NO PRAZO</v>
      </c>
      <c r="AR21" s="67"/>
      <c r="AS21" s="67"/>
      <c r="AT21" s="67"/>
      <c r="AU21" s="71" t="s">
        <v>257</v>
      </c>
      <c r="AV21" s="66" t="s">
        <v>101</v>
      </c>
      <c r="AW21" s="66"/>
    </row>
    <row r="22" spans="2:49" ht="66" x14ac:dyDescent="0.3">
      <c r="B22" s="69" t="str">
        <f>IF(Tabela1[[#This Row],[DATA]],PROPER(TEXT(Tabela1[[#This Row],[DATA]],"mmm")),"")</f>
        <v>Mai</v>
      </c>
      <c r="C22" s="67">
        <v>45429</v>
      </c>
      <c r="D22" s="67" t="str">
        <f t="shared" si="0"/>
        <v>Sexta</v>
      </c>
      <c r="E22" s="67"/>
      <c r="F22" s="67" t="str">
        <f t="shared" si="1"/>
        <v/>
      </c>
      <c r="G22" s="67" t="s">
        <v>234</v>
      </c>
      <c r="H22" s="4" t="s">
        <v>485</v>
      </c>
      <c r="I22" s="4" t="s">
        <v>84</v>
      </c>
      <c r="J22" s="4" t="s">
        <v>212</v>
      </c>
      <c r="K22" s="4"/>
      <c r="L22" s="74" t="s">
        <v>235</v>
      </c>
      <c r="M22" s="4" t="s">
        <v>182</v>
      </c>
      <c r="N22" s="4" t="s">
        <v>676</v>
      </c>
      <c r="O22" s="4" t="s">
        <v>189</v>
      </c>
      <c r="P22" s="4" t="s">
        <v>79</v>
      </c>
      <c r="Q22" s="4" t="s">
        <v>5</v>
      </c>
      <c r="R22" s="66" t="s">
        <v>29</v>
      </c>
      <c r="S22" s="4" t="s">
        <v>161</v>
      </c>
      <c r="T22" s="67">
        <f t="shared" si="2"/>
        <v>45429</v>
      </c>
      <c r="U22" s="67">
        <v>45429</v>
      </c>
      <c r="V22" s="4">
        <f t="shared" ca="1" si="20"/>
        <v>0</v>
      </c>
      <c r="W22" s="4" t="str">
        <f t="shared" ca="1" si="21"/>
        <v>NO PRAZO</v>
      </c>
      <c r="X22" s="67">
        <f t="shared" si="22"/>
        <v>45430</v>
      </c>
      <c r="Y22" s="67">
        <v>45430</v>
      </c>
      <c r="Z22" s="4">
        <f t="shared" ca="1" si="23"/>
        <v>0</v>
      </c>
      <c r="AA22" s="4" t="str">
        <f t="shared" ca="1" si="24"/>
        <v>NO PRAZO</v>
      </c>
      <c r="AB22" s="67">
        <f t="shared" si="8"/>
        <v>45430</v>
      </c>
      <c r="AC22" s="67">
        <v>45430</v>
      </c>
      <c r="AD22" s="4">
        <f t="shared" ca="1" si="25"/>
        <v>0</v>
      </c>
      <c r="AE22" s="4" t="str">
        <f t="shared" ca="1" si="26"/>
        <v>NO PRAZO</v>
      </c>
      <c r="AF22" s="67">
        <f t="shared" si="11"/>
        <v>45437</v>
      </c>
      <c r="AG22" s="67">
        <v>45437</v>
      </c>
      <c r="AH22" s="4">
        <f t="shared" ca="1" si="27"/>
        <v>0</v>
      </c>
      <c r="AI22" s="4" t="str">
        <f t="shared" ca="1" si="28"/>
        <v>NO PRAZO</v>
      </c>
      <c r="AJ22" s="67">
        <f t="shared" si="14"/>
        <v>45438</v>
      </c>
      <c r="AK22" s="67">
        <v>45437</v>
      </c>
      <c r="AL22" s="4">
        <f t="shared" ca="1" si="29"/>
        <v>-1</v>
      </c>
      <c r="AM22" s="4" t="str">
        <f t="shared" ca="1" si="30"/>
        <v>NO PRAZO</v>
      </c>
      <c r="AN22" s="67">
        <f t="shared" si="31"/>
        <v>45439</v>
      </c>
      <c r="AO22" s="67">
        <v>45437</v>
      </c>
      <c r="AP22" s="4">
        <f t="shared" ca="1" si="32"/>
        <v>-2</v>
      </c>
      <c r="AQ22" s="4" t="str">
        <f t="shared" ca="1" si="33"/>
        <v>NO PRAZO</v>
      </c>
      <c r="AR22" s="67"/>
      <c r="AS22" s="67"/>
      <c r="AT22" s="67"/>
      <c r="AU22" s="71" t="s">
        <v>258</v>
      </c>
      <c r="AV22" s="66" t="s">
        <v>101</v>
      </c>
      <c r="AW22" s="66"/>
    </row>
    <row r="23" spans="2:49" ht="39.6" x14ac:dyDescent="0.3">
      <c r="B23" s="69" t="str">
        <f>IF(Tabela1[[#This Row],[DATA]],PROPER(TEXT(Tabela1[[#This Row],[DATA]],"mmm")),"")</f>
        <v>Mai</v>
      </c>
      <c r="C23" s="67">
        <v>45436</v>
      </c>
      <c r="D23" s="67" t="str">
        <f t="shared" si="0"/>
        <v>Sexta</v>
      </c>
      <c r="E23" s="67"/>
      <c r="F23" s="67" t="str">
        <f t="shared" si="1"/>
        <v/>
      </c>
      <c r="G23" s="67" t="s">
        <v>236</v>
      </c>
      <c r="H23" s="4" t="s">
        <v>549</v>
      </c>
      <c r="I23" s="4" t="s">
        <v>84</v>
      </c>
      <c r="J23" s="4" t="s">
        <v>272</v>
      </c>
      <c r="K23" s="4"/>
      <c r="L23" s="74" t="s">
        <v>301</v>
      </c>
      <c r="M23" s="4" t="s">
        <v>202</v>
      </c>
      <c r="N23" s="4" t="s">
        <v>675</v>
      </c>
      <c r="O23" s="4" t="s">
        <v>165</v>
      </c>
      <c r="P23" s="4" t="s">
        <v>79</v>
      </c>
      <c r="Q23" s="4" t="s">
        <v>5</v>
      </c>
      <c r="R23" s="66" t="s">
        <v>29</v>
      </c>
      <c r="S23" s="4" t="s">
        <v>237</v>
      </c>
      <c r="T23" s="67">
        <f t="shared" si="2"/>
        <v>45436</v>
      </c>
      <c r="U23" s="67">
        <v>45436</v>
      </c>
      <c r="V23" s="4">
        <f t="shared" ca="1" si="20"/>
        <v>0</v>
      </c>
      <c r="W23" s="4" t="str">
        <f t="shared" ca="1" si="21"/>
        <v>NO PRAZO</v>
      </c>
      <c r="X23" s="67">
        <f t="shared" si="22"/>
        <v>45437</v>
      </c>
      <c r="Y23" s="67">
        <v>45437</v>
      </c>
      <c r="Z23" s="4">
        <f t="shared" ca="1" si="23"/>
        <v>0</v>
      </c>
      <c r="AA23" s="4" t="str">
        <f t="shared" ca="1" si="24"/>
        <v>NO PRAZO</v>
      </c>
      <c r="AB23" s="67">
        <f t="shared" si="8"/>
        <v>45437</v>
      </c>
      <c r="AC23" s="67">
        <v>45437</v>
      </c>
      <c r="AD23" s="4">
        <f t="shared" ca="1" si="25"/>
        <v>0</v>
      </c>
      <c r="AE23" s="4" t="str">
        <f t="shared" ca="1" si="26"/>
        <v>NO PRAZO</v>
      </c>
      <c r="AF23" s="67">
        <f t="shared" si="11"/>
        <v>45444</v>
      </c>
      <c r="AG23" s="67">
        <v>45442</v>
      </c>
      <c r="AH23" s="4">
        <f t="shared" ca="1" si="27"/>
        <v>-2</v>
      </c>
      <c r="AI23" s="4" t="str">
        <f t="shared" ca="1" si="28"/>
        <v>NO PRAZO</v>
      </c>
      <c r="AJ23" s="67">
        <f t="shared" si="14"/>
        <v>45445</v>
      </c>
      <c r="AK23" s="67">
        <v>45444</v>
      </c>
      <c r="AL23" s="4">
        <f t="shared" ca="1" si="29"/>
        <v>-1</v>
      </c>
      <c r="AM23" s="4" t="str">
        <f t="shared" ca="1" si="30"/>
        <v>NO PRAZO</v>
      </c>
      <c r="AN23" s="67">
        <f t="shared" si="31"/>
        <v>45446</v>
      </c>
      <c r="AO23" s="67">
        <v>45444</v>
      </c>
      <c r="AP23" s="4">
        <f t="shared" ca="1" si="32"/>
        <v>-2</v>
      </c>
      <c r="AQ23" s="4" t="str">
        <f t="shared" ca="1" si="33"/>
        <v>NO PRAZO</v>
      </c>
      <c r="AR23" s="67"/>
      <c r="AS23" s="67"/>
      <c r="AT23" s="67"/>
      <c r="AU23" s="71" t="s">
        <v>257</v>
      </c>
      <c r="AV23" s="66" t="s">
        <v>101</v>
      </c>
      <c r="AW23" s="66"/>
    </row>
    <row r="24" spans="2:49" ht="39.6" x14ac:dyDescent="0.3">
      <c r="B24" s="69" t="str">
        <f>IF(Tabela1[[#This Row],[DATA]],PROPER(TEXT(Tabela1[[#This Row],[DATA]],"mmm")),"")</f>
        <v>Mai</v>
      </c>
      <c r="C24" s="67">
        <v>45440</v>
      </c>
      <c r="D24" s="67" t="str">
        <f t="shared" si="0"/>
        <v>Terça</v>
      </c>
      <c r="E24" s="67"/>
      <c r="F24" s="67" t="str">
        <f t="shared" si="1"/>
        <v/>
      </c>
      <c r="G24" s="67" t="s">
        <v>240</v>
      </c>
      <c r="H24" s="4" t="s">
        <v>502</v>
      </c>
      <c r="I24" s="4" t="s">
        <v>115</v>
      </c>
      <c r="J24" s="4" t="s">
        <v>263</v>
      </c>
      <c r="K24" s="4"/>
      <c r="L24" s="74" t="s">
        <v>241</v>
      </c>
      <c r="M24" s="4" t="s">
        <v>117</v>
      </c>
      <c r="N24" s="4" t="s">
        <v>675</v>
      </c>
      <c r="O24" s="4" t="s">
        <v>242</v>
      </c>
      <c r="P24" s="4" t="s">
        <v>79</v>
      </c>
      <c r="Q24" s="4" t="s">
        <v>5</v>
      </c>
      <c r="R24" s="66" t="s">
        <v>221</v>
      </c>
      <c r="S24" s="4" t="s">
        <v>161</v>
      </c>
      <c r="T24" s="67">
        <f t="shared" si="2"/>
        <v>45440</v>
      </c>
      <c r="U24" s="67"/>
      <c r="V24" s="4">
        <f t="shared" ca="1" si="20"/>
        <v>881</v>
      </c>
      <c r="W24" s="4" t="str">
        <f t="shared" ca="1" si="21"/>
        <v>ATRASADO</v>
      </c>
      <c r="X24" s="67">
        <f t="shared" si="22"/>
        <v>45441</v>
      </c>
      <c r="Y24" s="67"/>
      <c r="Z24" s="4">
        <f t="shared" ca="1" si="23"/>
        <v>880</v>
      </c>
      <c r="AA24" s="4" t="str">
        <f t="shared" ca="1" si="24"/>
        <v>ATRASADO</v>
      </c>
      <c r="AB24" s="67">
        <f t="shared" si="8"/>
        <v>45441</v>
      </c>
      <c r="AC24" s="67"/>
      <c r="AD24" s="4">
        <f t="shared" ca="1" si="25"/>
        <v>880</v>
      </c>
      <c r="AE24" s="4" t="str">
        <f t="shared" ca="1" si="26"/>
        <v>ATRASADO</v>
      </c>
      <c r="AF24" s="67">
        <f t="shared" si="11"/>
        <v>45448</v>
      </c>
      <c r="AG24" s="67"/>
      <c r="AH24" s="4">
        <f t="shared" ca="1" si="27"/>
        <v>873</v>
      </c>
      <c r="AI24" s="4" t="str">
        <f t="shared" ca="1" si="28"/>
        <v>ATRASADO</v>
      </c>
      <c r="AJ24" s="67">
        <f t="shared" si="14"/>
        <v>45449</v>
      </c>
      <c r="AK24" s="67"/>
      <c r="AL24" s="4">
        <f t="shared" ca="1" si="29"/>
        <v>872</v>
      </c>
      <c r="AM24" s="4" t="str">
        <f t="shared" ca="1" si="30"/>
        <v>ATRASADO</v>
      </c>
      <c r="AN24" s="67">
        <f t="shared" si="31"/>
        <v>45450</v>
      </c>
      <c r="AO24" s="67"/>
      <c r="AP24" s="4">
        <f t="shared" ca="1" si="32"/>
        <v>871</v>
      </c>
      <c r="AQ24" s="4" t="str">
        <f t="shared" ca="1" si="33"/>
        <v>ATRASADO</v>
      </c>
      <c r="AR24" s="67"/>
      <c r="AS24" s="67"/>
      <c r="AT24" s="67"/>
      <c r="AU24" s="71" t="s">
        <v>257</v>
      </c>
      <c r="AV24" s="66" t="s">
        <v>101</v>
      </c>
      <c r="AW24" s="66"/>
    </row>
    <row r="25" spans="2:49" ht="39.6" x14ac:dyDescent="0.3">
      <c r="B25" s="69" t="str">
        <f>IF(Tabela1[[#This Row],[DATA]],PROPER(TEXT(Tabela1[[#This Row],[DATA]],"mmm")),"")</f>
        <v>Jun</v>
      </c>
      <c r="C25" s="67">
        <v>45462</v>
      </c>
      <c r="D25" s="67" t="str">
        <f t="shared" si="0"/>
        <v>Quarta</v>
      </c>
      <c r="E25" s="67"/>
      <c r="F25" s="67" t="str">
        <f t="shared" si="1"/>
        <v/>
      </c>
      <c r="G25" s="67" t="s">
        <v>245</v>
      </c>
      <c r="H25" s="4" t="s">
        <v>486</v>
      </c>
      <c r="I25" s="4" t="s">
        <v>84</v>
      </c>
      <c r="J25" s="4" t="s">
        <v>264</v>
      </c>
      <c r="K25" s="4"/>
      <c r="L25" s="74" t="s">
        <v>246</v>
      </c>
      <c r="M25" s="4" t="s">
        <v>182</v>
      </c>
      <c r="N25" s="4" t="s">
        <v>675</v>
      </c>
      <c r="O25" s="4" t="s">
        <v>203</v>
      </c>
      <c r="P25" s="4" t="s">
        <v>79</v>
      </c>
      <c r="Q25" s="4" t="s">
        <v>5</v>
      </c>
      <c r="R25" s="66" t="s">
        <v>29</v>
      </c>
      <c r="S25" s="4" t="s">
        <v>161</v>
      </c>
      <c r="T25" s="67">
        <f t="shared" ref="T25:T34" si="34">IF($C25="","",$C25)</f>
        <v>45462</v>
      </c>
      <c r="U25" s="67">
        <v>45461</v>
      </c>
      <c r="V25" s="4">
        <f t="shared" ca="1" si="20"/>
        <v>-1</v>
      </c>
      <c r="W25" s="4" t="str">
        <f t="shared" ca="1" si="21"/>
        <v>NO PRAZO</v>
      </c>
      <c r="X25" s="67">
        <f t="shared" si="22"/>
        <v>45463</v>
      </c>
      <c r="Y25" s="67">
        <v>45463</v>
      </c>
      <c r="Z25" s="4">
        <f t="shared" ca="1" si="23"/>
        <v>0</v>
      </c>
      <c r="AA25" s="4" t="str">
        <f t="shared" ca="1" si="24"/>
        <v>NO PRAZO</v>
      </c>
      <c r="AB25" s="67">
        <f t="shared" ref="AB25:AB34" si="35">IF($C25="","",$C25+1)</f>
        <v>45463</v>
      </c>
      <c r="AC25" s="67">
        <v>45463</v>
      </c>
      <c r="AD25" s="4">
        <f t="shared" ca="1" si="25"/>
        <v>0</v>
      </c>
      <c r="AE25" s="4" t="str">
        <f t="shared" ca="1" si="26"/>
        <v>NO PRAZO</v>
      </c>
      <c r="AF25" s="67">
        <f t="shared" ref="AF25:AF34" si="36">IF($C25="","",$C25+8)</f>
        <v>45470</v>
      </c>
      <c r="AG25" s="67">
        <v>45438</v>
      </c>
      <c r="AH25" s="4">
        <f t="shared" ca="1" si="27"/>
        <v>-32</v>
      </c>
      <c r="AI25" s="4" t="str">
        <f t="shared" ca="1" si="28"/>
        <v>NO PRAZO</v>
      </c>
      <c r="AJ25" s="67">
        <f t="shared" ref="AJ25:AJ34" si="37">IF($C25="","",$C25+9)</f>
        <v>45471</v>
      </c>
      <c r="AK25" s="67"/>
      <c r="AL25" s="4">
        <f t="shared" ca="1" si="29"/>
        <v>850</v>
      </c>
      <c r="AM25" s="4" t="str">
        <f t="shared" ca="1" si="30"/>
        <v>ATRASADO</v>
      </c>
      <c r="AN25" s="67">
        <f t="shared" si="31"/>
        <v>45472</v>
      </c>
      <c r="AO25" s="67"/>
      <c r="AP25" s="4">
        <f t="shared" ca="1" si="32"/>
        <v>849</v>
      </c>
      <c r="AQ25" s="4" t="str">
        <f t="shared" ca="1" si="33"/>
        <v>ATRASADO</v>
      </c>
      <c r="AR25" s="67"/>
      <c r="AS25" s="67"/>
      <c r="AT25" s="67"/>
      <c r="AU25" s="71" t="s">
        <v>257</v>
      </c>
      <c r="AV25" s="66" t="s">
        <v>101</v>
      </c>
      <c r="AW25" s="66"/>
    </row>
    <row r="26" spans="2:49" ht="39.6" x14ac:dyDescent="0.3">
      <c r="B26" s="69" t="str">
        <f>IF(Tabela1[[#This Row],[DATA]],PROPER(TEXT(Tabela1[[#This Row],[DATA]],"mmm")),"")</f>
        <v>Jul</v>
      </c>
      <c r="C26" s="65">
        <v>45477</v>
      </c>
      <c r="D26" s="65" t="str">
        <f t="shared" si="0"/>
        <v>Quinta</v>
      </c>
      <c r="E26" s="65"/>
      <c r="F26" s="67" t="str">
        <f t="shared" si="1"/>
        <v/>
      </c>
      <c r="G26" s="67" t="s">
        <v>253</v>
      </c>
      <c r="H26" s="4" t="s">
        <v>456</v>
      </c>
      <c r="I26" s="66" t="s">
        <v>24</v>
      </c>
      <c r="J26" s="66" t="s">
        <v>300</v>
      </c>
      <c r="K26" s="66"/>
      <c r="L26" s="134" t="s">
        <v>254</v>
      </c>
      <c r="M26" s="66" t="s">
        <v>176</v>
      </c>
      <c r="N26" s="4" t="s">
        <v>676</v>
      </c>
      <c r="O26" s="66" t="s">
        <v>255</v>
      </c>
      <c r="P26" s="66" t="s">
        <v>93</v>
      </c>
      <c r="Q26" s="66" t="s">
        <v>5</v>
      </c>
      <c r="R26" s="66" t="s">
        <v>29</v>
      </c>
      <c r="S26" s="4" t="s">
        <v>161</v>
      </c>
      <c r="T26" s="65">
        <f t="shared" si="34"/>
        <v>45477</v>
      </c>
      <c r="U26" s="65">
        <f>IF($C26="","",$C26)</f>
        <v>45477</v>
      </c>
      <c r="V26" s="66">
        <f t="shared" ca="1" si="20"/>
        <v>0</v>
      </c>
      <c r="W26" s="66" t="str">
        <f t="shared" ca="1" si="21"/>
        <v>NO PRAZO</v>
      </c>
      <c r="X26" s="65">
        <f t="shared" si="22"/>
        <v>45478</v>
      </c>
      <c r="Y26" s="65">
        <f>IF($C26="","",$C26+1)</f>
        <v>45478</v>
      </c>
      <c r="Z26" s="66">
        <f t="shared" ca="1" si="23"/>
        <v>0</v>
      </c>
      <c r="AA26" s="66" t="str">
        <f t="shared" ca="1" si="24"/>
        <v>NO PRAZO</v>
      </c>
      <c r="AB26" s="65">
        <f t="shared" si="35"/>
        <v>45478</v>
      </c>
      <c r="AC26" s="65"/>
      <c r="AD26" s="66">
        <f t="shared" ca="1" si="25"/>
        <v>843</v>
      </c>
      <c r="AE26" s="66" t="str">
        <f t="shared" ca="1" si="26"/>
        <v>ATRASADO</v>
      </c>
      <c r="AF26" s="65">
        <f t="shared" si="36"/>
        <v>45485</v>
      </c>
      <c r="AG26" s="65"/>
      <c r="AH26" s="66">
        <f t="shared" ca="1" si="27"/>
        <v>836</v>
      </c>
      <c r="AI26" s="66" t="str">
        <f t="shared" ca="1" si="28"/>
        <v>ATRASADO</v>
      </c>
      <c r="AJ26" s="65">
        <f t="shared" si="37"/>
        <v>45486</v>
      </c>
      <c r="AK26" s="65"/>
      <c r="AL26" s="66">
        <f t="shared" ca="1" si="29"/>
        <v>835</v>
      </c>
      <c r="AM26" s="66" t="str">
        <f t="shared" ca="1" si="30"/>
        <v>ATRASADO</v>
      </c>
      <c r="AN26" s="65">
        <f t="shared" si="31"/>
        <v>45487</v>
      </c>
      <c r="AO26" s="65"/>
      <c r="AP26" s="66">
        <f t="shared" ca="1" si="32"/>
        <v>834</v>
      </c>
      <c r="AQ26" s="66" t="str">
        <f t="shared" ca="1" si="33"/>
        <v>ATRASADO</v>
      </c>
      <c r="AR26" s="65"/>
      <c r="AS26" s="65"/>
      <c r="AT26" s="65"/>
      <c r="AU26" s="71" t="s">
        <v>601</v>
      </c>
      <c r="AV26" s="66" t="s">
        <v>101</v>
      </c>
      <c r="AW26" s="66"/>
    </row>
    <row r="27" spans="2:49" ht="39.6" x14ac:dyDescent="0.3">
      <c r="B27" s="69" t="str">
        <f>IF(Tabela1[[#This Row],[DATA]],PROPER(TEXT(Tabela1[[#This Row],[DATA]],"mmm")),"")</f>
        <v>Jul</v>
      </c>
      <c r="C27" s="75">
        <v>45485</v>
      </c>
      <c r="D27" s="75" t="str">
        <f t="shared" si="0"/>
        <v>Sexta</v>
      </c>
      <c r="E27" s="75"/>
      <c r="F27" s="67" t="str">
        <f t="shared" si="1"/>
        <v/>
      </c>
      <c r="G27" s="75" t="s">
        <v>278</v>
      </c>
      <c r="H27" s="4" t="s">
        <v>487</v>
      </c>
      <c r="I27" s="76" t="s">
        <v>84</v>
      </c>
      <c r="J27" s="76" t="s">
        <v>272</v>
      </c>
      <c r="K27" s="76"/>
      <c r="L27" s="135" t="s">
        <v>277</v>
      </c>
      <c r="M27" s="76" t="s">
        <v>112</v>
      </c>
      <c r="N27" s="4" t="s">
        <v>675</v>
      </c>
      <c r="O27" s="4" t="s">
        <v>113</v>
      </c>
      <c r="P27" s="4" t="s">
        <v>93</v>
      </c>
      <c r="Q27" s="4" t="s">
        <v>5</v>
      </c>
      <c r="R27" s="4" t="s">
        <v>29</v>
      </c>
      <c r="S27" s="41" t="s">
        <v>279</v>
      </c>
      <c r="T27" s="67">
        <f t="shared" si="34"/>
        <v>45485</v>
      </c>
      <c r="U27" s="67">
        <v>45485</v>
      </c>
      <c r="V27" s="4">
        <f t="shared" ca="1" si="20"/>
        <v>0</v>
      </c>
      <c r="W27" s="4" t="str">
        <f t="shared" ca="1" si="21"/>
        <v>NO PRAZO</v>
      </c>
      <c r="X27" s="67">
        <f t="shared" si="22"/>
        <v>45486</v>
      </c>
      <c r="Y27" s="67">
        <v>45486</v>
      </c>
      <c r="Z27" s="4">
        <f t="shared" ca="1" si="23"/>
        <v>0</v>
      </c>
      <c r="AA27" s="4" t="str">
        <f t="shared" ca="1" si="24"/>
        <v>NO PRAZO</v>
      </c>
      <c r="AB27" s="67">
        <f t="shared" si="35"/>
        <v>45486</v>
      </c>
      <c r="AC27" s="67">
        <v>45486</v>
      </c>
      <c r="AD27" s="4">
        <f t="shared" ca="1" si="25"/>
        <v>0</v>
      </c>
      <c r="AE27" s="4" t="str">
        <f t="shared" ca="1" si="26"/>
        <v>NO PRAZO</v>
      </c>
      <c r="AF27" s="67">
        <f t="shared" si="36"/>
        <v>45493</v>
      </c>
      <c r="AG27" s="67">
        <v>45493</v>
      </c>
      <c r="AH27" s="4">
        <f t="shared" ca="1" si="27"/>
        <v>0</v>
      </c>
      <c r="AI27" s="4" t="str">
        <f t="shared" ca="1" si="28"/>
        <v>NO PRAZO</v>
      </c>
      <c r="AJ27" s="67">
        <f t="shared" si="37"/>
        <v>45494</v>
      </c>
      <c r="AK27" s="67">
        <v>45494</v>
      </c>
      <c r="AL27" s="4">
        <f t="shared" ca="1" si="29"/>
        <v>0</v>
      </c>
      <c r="AM27" s="4" t="str">
        <f t="shared" ca="1" si="30"/>
        <v>NO PRAZO</v>
      </c>
      <c r="AN27" s="67">
        <f t="shared" si="31"/>
        <v>45495</v>
      </c>
      <c r="AO27" s="67">
        <v>45495</v>
      </c>
      <c r="AP27" s="4">
        <f t="shared" ca="1" si="32"/>
        <v>0</v>
      </c>
      <c r="AQ27" s="4" t="str">
        <f t="shared" ca="1" si="33"/>
        <v>NO PRAZO</v>
      </c>
      <c r="AR27" s="67"/>
      <c r="AS27" s="67"/>
      <c r="AT27" s="67"/>
      <c r="AU27" s="71" t="s">
        <v>257</v>
      </c>
      <c r="AV27" s="4" t="s">
        <v>101</v>
      </c>
      <c r="AW27" s="4"/>
    </row>
    <row r="28" spans="2:49" ht="26.4" x14ac:dyDescent="0.3">
      <c r="B28" s="69" t="str">
        <f>IF(Tabela1[[#This Row],[DATA]],PROPER(TEXT(Tabela1[[#This Row],[DATA]],"mmm")),"")</f>
        <v>Jul</v>
      </c>
      <c r="C28" s="67">
        <v>45490</v>
      </c>
      <c r="D28" s="67" t="str">
        <f t="shared" si="0"/>
        <v>Quarta</v>
      </c>
      <c r="E28" s="67"/>
      <c r="F28" s="67" t="str">
        <f t="shared" si="1"/>
        <v/>
      </c>
      <c r="G28" s="67" t="s">
        <v>281</v>
      </c>
      <c r="H28" s="4" t="s">
        <v>488</v>
      </c>
      <c r="I28" s="4" t="s">
        <v>84</v>
      </c>
      <c r="J28" s="4" t="s">
        <v>263</v>
      </c>
      <c r="K28" s="4"/>
      <c r="L28" s="74" t="s">
        <v>280</v>
      </c>
      <c r="M28" s="4" t="s">
        <v>112</v>
      </c>
      <c r="N28" s="4" t="s">
        <v>675</v>
      </c>
      <c r="O28" s="4" t="s">
        <v>113</v>
      </c>
      <c r="P28" s="4" t="s">
        <v>93</v>
      </c>
      <c r="Q28" s="4" t="s">
        <v>5</v>
      </c>
      <c r="R28" s="4" t="s">
        <v>221</v>
      </c>
      <c r="S28" s="70">
        <v>1.10000000026988E+20</v>
      </c>
      <c r="T28" s="67">
        <f t="shared" si="34"/>
        <v>45490</v>
      </c>
      <c r="U28" s="67">
        <v>45490</v>
      </c>
      <c r="V28" s="4">
        <f t="shared" ca="1" si="20"/>
        <v>0</v>
      </c>
      <c r="W28" s="4" t="str">
        <f t="shared" ca="1" si="21"/>
        <v>NO PRAZO</v>
      </c>
      <c r="X28" s="67">
        <f t="shared" si="22"/>
        <v>45491</v>
      </c>
      <c r="Y28" s="67">
        <v>45492</v>
      </c>
      <c r="Z28" s="4">
        <f t="shared" ca="1" si="23"/>
        <v>1</v>
      </c>
      <c r="AA28" s="4" t="str">
        <f t="shared" ca="1" si="24"/>
        <v>ATRASADO</v>
      </c>
      <c r="AB28" s="67">
        <f t="shared" si="35"/>
        <v>45491</v>
      </c>
      <c r="AC28" s="67">
        <v>45491</v>
      </c>
      <c r="AD28" s="4">
        <f t="shared" ca="1" si="25"/>
        <v>0</v>
      </c>
      <c r="AE28" s="4" t="str">
        <f t="shared" ca="1" si="26"/>
        <v>NO PRAZO</v>
      </c>
      <c r="AF28" s="67">
        <f t="shared" si="36"/>
        <v>45498</v>
      </c>
      <c r="AG28" s="67">
        <v>45498</v>
      </c>
      <c r="AH28" s="4">
        <f t="shared" ca="1" si="27"/>
        <v>0</v>
      </c>
      <c r="AI28" s="4" t="str">
        <f t="shared" ca="1" si="28"/>
        <v>NO PRAZO</v>
      </c>
      <c r="AJ28" s="67">
        <f t="shared" si="37"/>
        <v>45499</v>
      </c>
      <c r="AK28" s="67">
        <v>45499</v>
      </c>
      <c r="AL28" s="4">
        <f t="shared" ca="1" si="29"/>
        <v>0</v>
      </c>
      <c r="AM28" s="4" t="str">
        <f t="shared" ca="1" si="30"/>
        <v>NO PRAZO</v>
      </c>
      <c r="AN28" s="67">
        <f t="shared" si="31"/>
        <v>45500</v>
      </c>
      <c r="AO28" s="67">
        <v>45500</v>
      </c>
      <c r="AP28" s="4">
        <f t="shared" ca="1" si="32"/>
        <v>0</v>
      </c>
      <c r="AQ28" s="4" t="str">
        <f t="shared" ca="1" si="33"/>
        <v>NO PRAZO</v>
      </c>
      <c r="AR28" s="67"/>
      <c r="AS28" s="67"/>
      <c r="AT28" s="67"/>
      <c r="AU28" s="71" t="s">
        <v>257</v>
      </c>
      <c r="AV28" s="4" t="s">
        <v>101</v>
      </c>
      <c r="AW28" s="4"/>
    </row>
    <row r="29" spans="2:49" ht="26.4" x14ac:dyDescent="0.3">
      <c r="B29" s="69" t="str">
        <f>IF(Tabela1[[#This Row],[DATA]],PROPER(TEXT(Tabela1[[#This Row],[DATA]],"mmm")),"")</f>
        <v>Jul</v>
      </c>
      <c r="C29" s="67">
        <v>45504</v>
      </c>
      <c r="D29" s="67" t="str">
        <f t="shared" si="0"/>
        <v>Quarta</v>
      </c>
      <c r="E29" s="67"/>
      <c r="F29" s="67" t="str">
        <f t="shared" si="1"/>
        <v/>
      </c>
      <c r="G29" s="67" t="s">
        <v>283</v>
      </c>
      <c r="H29" s="4" t="s">
        <v>488</v>
      </c>
      <c r="I29" s="4" t="s">
        <v>84</v>
      </c>
      <c r="J29" s="66" t="s">
        <v>300</v>
      </c>
      <c r="K29" s="66"/>
      <c r="L29" s="74" t="s">
        <v>282</v>
      </c>
      <c r="M29" s="4" t="s">
        <v>112</v>
      </c>
      <c r="N29" s="4" t="s">
        <v>676</v>
      </c>
      <c r="O29" s="4" t="s">
        <v>113</v>
      </c>
      <c r="P29" s="4" t="s">
        <v>93</v>
      </c>
      <c r="Q29" s="4" t="s">
        <v>5</v>
      </c>
      <c r="R29" s="66" t="s">
        <v>29</v>
      </c>
      <c r="S29" s="4" t="s">
        <v>161</v>
      </c>
      <c r="T29" s="67">
        <f t="shared" si="34"/>
        <v>45504</v>
      </c>
      <c r="U29" s="67">
        <v>45504</v>
      </c>
      <c r="V29" s="4">
        <f t="shared" ca="1" si="20"/>
        <v>0</v>
      </c>
      <c r="W29" s="4" t="str">
        <f t="shared" ca="1" si="21"/>
        <v>NO PRAZO</v>
      </c>
      <c r="X29" s="67">
        <f t="shared" si="22"/>
        <v>45505</v>
      </c>
      <c r="Y29" s="67">
        <v>45505</v>
      </c>
      <c r="Z29" s="4">
        <f t="shared" ca="1" si="23"/>
        <v>0</v>
      </c>
      <c r="AA29" s="4" t="str">
        <f t="shared" ca="1" si="24"/>
        <v>NO PRAZO</v>
      </c>
      <c r="AB29" s="67">
        <f t="shared" si="35"/>
        <v>45505</v>
      </c>
      <c r="AC29" s="67">
        <v>45505</v>
      </c>
      <c r="AD29" s="4">
        <f t="shared" ca="1" si="25"/>
        <v>0</v>
      </c>
      <c r="AE29" s="4" t="str">
        <f t="shared" ca="1" si="26"/>
        <v>NO PRAZO</v>
      </c>
      <c r="AF29" s="67">
        <f t="shared" si="36"/>
        <v>45512</v>
      </c>
      <c r="AG29" s="67">
        <v>45512</v>
      </c>
      <c r="AH29" s="4">
        <f t="shared" ca="1" si="27"/>
        <v>0</v>
      </c>
      <c r="AI29" s="4" t="str">
        <f t="shared" ca="1" si="28"/>
        <v>NO PRAZO</v>
      </c>
      <c r="AJ29" s="67">
        <f t="shared" si="37"/>
        <v>45513</v>
      </c>
      <c r="AK29" s="67">
        <v>45513</v>
      </c>
      <c r="AL29" s="4">
        <f t="shared" ca="1" si="29"/>
        <v>0</v>
      </c>
      <c r="AM29" s="4" t="str">
        <f t="shared" ca="1" si="30"/>
        <v>NO PRAZO</v>
      </c>
      <c r="AN29" s="67">
        <f t="shared" si="31"/>
        <v>45514</v>
      </c>
      <c r="AO29" s="67">
        <v>45514</v>
      </c>
      <c r="AP29" s="4">
        <f t="shared" ca="1" si="32"/>
        <v>0</v>
      </c>
      <c r="AQ29" s="4" t="str">
        <f t="shared" ca="1" si="33"/>
        <v>NO PRAZO</v>
      </c>
      <c r="AR29" s="67"/>
      <c r="AS29" s="67"/>
      <c r="AT29" s="67"/>
      <c r="AU29" s="71" t="s">
        <v>601</v>
      </c>
      <c r="AV29" s="4" t="s">
        <v>101</v>
      </c>
      <c r="AW29" s="4"/>
    </row>
    <row r="30" spans="2:49" ht="66" x14ac:dyDescent="0.3">
      <c r="B30" s="69" t="str">
        <f>IF(Tabela1[[#This Row],[DATA]],PROPER(TEXT(Tabela1[[#This Row],[DATA]],"mmm")),"")</f>
        <v>Ago</v>
      </c>
      <c r="C30" s="67">
        <v>45505</v>
      </c>
      <c r="D30" s="67" t="str">
        <f t="shared" si="0"/>
        <v>Quinta</v>
      </c>
      <c r="E30" s="67"/>
      <c r="F30" s="67" t="str">
        <f t="shared" si="1"/>
        <v/>
      </c>
      <c r="G30" s="67" t="s">
        <v>285</v>
      </c>
      <c r="H30" s="4" t="s">
        <v>503</v>
      </c>
      <c r="I30" s="4" t="s">
        <v>115</v>
      </c>
      <c r="J30" s="4" t="s">
        <v>212</v>
      </c>
      <c r="K30" s="4"/>
      <c r="L30" s="74" t="s">
        <v>286</v>
      </c>
      <c r="M30" s="4" t="s">
        <v>287</v>
      </c>
      <c r="N30" s="4" t="s">
        <v>675</v>
      </c>
      <c r="O30" s="4" t="s">
        <v>96</v>
      </c>
      <c r="P30" s="4" t="s">
        <v>79</v>
      </c>
      <c r="Q30" s="4" t="s">
        <v>5</v>
      </c>
      <c r="R30" s="66" t="s">
        <v>29</v>
      </c>
      <c r="S30" s="4" t="s">
        <v>161</v>
      </c>
      <c r="T30" s="67">
        <f t="shared" si="34"/>
        <v>45505</v>
      </c>
      <c r="U30" s="67">
        <v>45505</v>
      </c>
      <c r="V30" s="4">
        <f t="shared" ca="1" si="20"/>
        <v>0</v>
      </c>
      <c r="W30" s="4" t="str">
        <f t="shared" ca="1" si="21"/>
        <v>NO PRAZO</v>
      </c>
      <c r="X30" s="67">
        <f t="shared" si="22"/>
        <v>45506</v>
      </c>
      <c r="Y30" s="67">
        <v>45506</v>
      </c>
      <c r="Z30" s="4">
        <f t="shared" ca="1" si="23"/>
        <v>0</v>
      </c>
      <c r="AA30" s="4" t="str">
        <f t="shared" ca="1" si="24"/>
        <v>NO PRAZO</v>
      </c>
      <c r="AB30" s="67">
        <f t="shared" si="35"/>
        <v>45506</v>
      </c>
      <c r="AC30" s="67">
        <v>45506</v>
      </c>
      <c r="AD30" s="4">
        <f t="shared" ca="1" si="25"/>
        <v>0</v>
      </c>
      <c r="AE30" s="4" t="str">
        <f t="shared" ca="1" si="26"/>
        <v>NO PRAZO</v>
      </c>
      <c r="AF30" s="67">
        <f t="shared" si="36"/>
        <v>45513</v>
      </c>
      <c r="AG30" s="67">
        <v>45513</v>
      </c>
      <c r="AH30" s="4">
        <f t="shared" ca="1" si="27"/>
        <v>0</v>
      </c>
      <c r="AI30" s="4" t="str">
        <f t="shared" ca="1" si="28"/>
        <v>NO PRAZO</v>
      </c>
      <c r="AJ30" s="67">
        <f t="shared" si="37"/>
        <v>45514</v>
      </c>
      <c r="AK30" s="67">
        <v>45514</v>
      </c>
      <c r="AL30" s="4">
        <f t="shared" ca="1" si="29"/>
        <v>0</v>
      </c>
      <c r="AM30" s="4" t="str">
        <f t="shared" ca="1" si="30"/>
        <v>NO PRAZO</v>
      </c>
      <c r="AN30" s="67">
        <f t="shared" si="31"/>
        <v>45515</v>
      </c>
      <c r="AO30" s="67">
        <v>45515</v>
      </c>
      <c r="AP30" s="4">
        <f t="shared" ca="1" si="32"/>
        <v>0</v>
      </c>
      <c r="AQ30" s="4" t="str">
        <f t="shared" ca="1" si="33"/>
        <v>NO PRAZO</v>
      </c>
      <c r="AR30" s="67"/>
      <c r="AS30" s="67"/>
      <c r="AT30" s="67"/>
      <c r="AU30" s="71" t="s">
        <v>258</v>
      </c>
      <c r="AV30" s="4" t="s">
        <v>101</v>
      </c>
      <c r="AW30" s="4"/>
    </row>
    <row r="31" spans="2:49" ht="26.4" x14ac:dyDescent="0.3">
      <c r="B31" s="69" t="str">
        <f>IF(Tabela1[[#This Row],[DATA]],PROPER(TEXT(Tabela1[[#This Row],[DATA]],"mmm")),"")</f>
        <v>Ago</v>
      </c>
      <c r="C31" s="67">
        <v>45517</v>
      </c>
      <c r="D31" s="67" t="str">
        <f t="shared" si="0"/>
        <v>Terça</v>
      </c>
      <c r="E31" s="67"/>
      <c r="F31" s="67" t="str">
        <f t="shared" si="1"/>
        <v/>
      </c>
      <c r="G31" s="67" t="s">
        <v>288</v>
      </c>
      <c r="H31" s="4" t="s">
        <v>486</v>
      </c>
      <c r="I31" s="4" t="s">
        <v>84</v>
      </c>
      <c r="J31" s="66" t="s">
        <v>300</v>
      </c>
      <c r="K31" s="66"/>
      <c r="L31" s="74" t="s">
        <v>289</v>
      </c>
      <c r="M31" s="4" t="s">
        <v>182</v>
      </c>
      <c r="N31" s="4" t="s">
        <v>675</v>
      </c>
      <c r="O31" s="4" t="s">
        <v>78</v>
      </c>
      <c r="P31" s="4" t="s">
        <v>79</v>
      </c>
      <c r="Q31" s="4" t="s">
        <v>5</v>
      </c>
      <c r="R31" s="66" t="s">
        <v>29</v>
      </c>
      <c r="S31" s="4" t="s">
        <v>161</v>
      </c>
      <c r="T31" s="67">
        <f t="shared" si="34"/>
        <v>45517</v>
      </c>
      <c r="U31" s="67">
        <v>45518</v>
      </c>
      <c r="V31" s="4">
        <f t="shared" ca="1" si="20"/>
        <v>1</v>
      </c>
      <c r="W31" s="4" t="str">
        <f t="shared" ca="1" si="21"/>
        <v>ATRASADO</v>
      </c>
      <c r="X31" s="67">
        <f t="shared" si="22"/>
        <v>45518</v>
      </c>
      <c r="Y31" s="67">
        <v>45518</v>
      </c>
      <c r="Z31" s="4">
        <f t="shared" ca="1" si="23"/>
        <v>0</v>
      </c>
      <c r="AA31" s="4" t="str">
        <f t="shared" ca="1" si="24"/>
        <v>NO PRAZO</v>
      </c>
      <c r="AB31" s="67">
        <f t="shared" si="35"/>
        <v>45518</v>
      </c>
      <c r="AC31" s="67">
        <v>45518</v>
      </c>
      <c r="AD31" s="4">
        <f t="shared" ca="1" si="25"/>
        <v>0</v>
      </c>
      <c r="AE31" s="4" t="str">
        <f t="shared" ca="1" si="26"/>
        <v>NO PRAZO</v>
      </c>
      <c r="AF31" s="67">
        <f t="shared" si="36"/>
        <v>45525</v>
      </c>
      <c r="AG31" s="67">
        <v>45525</v>
      </c>
      <c r="AH31" s="4">
        <f t="shared" ca="1" si="27"/>
        <v>0</v>
      </c>
      <c r="AI31" s="4" t="str">
        <f t="shared" ca="1" si="28"/>
        <v>NO PRAZO</v>
      </c>
      <c r="AJ31" s="67">
        <f t="shared" si="37"/>
        <v>45526</v>
      </c>
      <c r="AK31" s="67">
        <v>45526</v>
      </c>
      <c r="AL31" s="4">
        <f t="shared" ca="1" si="29"/>
        <v>0</v>
      </c>
      <c r="AM31" s="4" t="str">
        <f t="shared" ca="1" si="30"/>
        <v>NO PRAZO</v>
      </c>
      <c r="AN31" s="67">
        <f t="shared" si="31"/>
        <v>45527</v>
      </c>
      <c r="AO31" s="67">
        <v>45527</v>
      </c>
      <c r="AP31" s="4">
        <f t="shared" ca="1" si="32"/>
        <v>0</v>
      </c>
      <c r="AQ31" s="4" t="str">
        <f t="shared" ca="1" si="33"/>
        <v>NO PRAZO</v>
      </c>
      <c r="AR31" s="67"/>
      <c r="AS31" s="67"/>
      <c r="AT31" s="67"/>
      <c r="AU31" s="71" t="s">
        <v>601</v>
      </c>
      <c r="AV31" s="4" t="s">
        <v>101</v>
      </c>
      <c r="AW31" s="4"/>
    </row>
    <row r="32" spans="2:49" ht="39.6" x14ac:dyDescent="0.3">
      <c r="B32" s="69" t="str">
        <f>IF(Tabela1[[#This Row],[DATA]],PROPER(TEXT(Tabela1[[#This Row],[DATA]],"mmm")),"")</f>
        <v>Ago</v>
      </c>
      <c r="C32" s="67">
        <v>45520</v>
      </c>
      <c r="D32" s="67" t="str">
        <f t="shared" si="0"/>
        <v>Sexta</v>
      </c>
      <c r="E32" s="67"/>
      <c r="F32" s="67" t="str">
        <f t="shared" si="1"/>
        <v/>
      </c>
      <c r="G32" s="67" t="s">
        <v>290</v>
      </c>
      <c r="H32" s="4" t="s">
        <v>484</v>
      </c>
      <c r="I32" s="4" t="s">
        <v>84</v>
      </c>
      <c r="J32" s="4" t="s">
        <v>212</v>
      </c>
      <c r="K32" s="4"/>
      <c r="L32" s="74" t="s">
        <v>291</v>
      </c>
      <c r="M32" s="4" t="s">
        <v>182</v>
      </c>
      <c r="N32" s="4" t="s">
        <v>675</v>
      </c>
      <c r="O32" s="4" t="s">
        <v>203</v>
      </c>
      <c r="P32" s="4" t="s">
        <v>79</v>
      </c>
      <c r="Q32" s="4" t="s">
        <v>5</v>
      </c>
      <c r="R32" s="66" t="s">
        <v>29</v>
      </c>
      <c r="S32" s="4" t="s">
        <v>161</v>
      </c>
      <c r="T32" s="67">
        <f t="shared" si="34"/>
        <v>45520</v>
      </c>
      <c r="U32" s="67">
        <v>45520</v>
      </c>
      <c r="V32" s="4">
        <f t="shared" ca="1" si="20"/>
        <v>0</v>
      </c>
      <c r="W32" s="4" t="str">
        <f t="shared" ca="1" si="21"/>
        <v>NO PRAZO</v>
      </c>
      <c r="X32" s="67">
        <f t="shared" si="22"/>
        <v>45521</v>
      </c>
      <c r="Y32" s="67">
        <v>45521</v>
      </c>
      <c r="Z32" s="4">
        <f t="shared" ca="1" si="23"/>
        <v>0</v>
      </c>
      <c r="AA32" s="4" t="str">
        <f t="shared" ca="1" si="24"/>
        <v>NO PRAZO</v>
      </c>
      <c r="AB32" s="67">
        <f t="shared" si="35"/>
        <v>45521</v>
      </c>
      <c r="AC32" s="67">
        <v>45521</v>
      </c>
      <c r="AD32" s="4">
        <f t="shared" ca="1" si="25"/>
        <v>0</v>
      </c>
      <c r="AE32" s="4" t="str">
        <f t="shared" ca="1" si="26"/>
        <v>NO PRAZO</v>
      </c>
      <c r="AF32" s="67">
        <f t="shared" si="36"/>
        <v>45528</v>
      </c>
      <c r="AG32" s="67">
        <v>45528</v>
      </c>
      <c r="AH32" s="4">
        <f t="shared" ca="1" si="27"/>
        <v>0</v>
      </c>
      <c r="AI32" s="4" t="str">
        <f t="shared" ca="1" si="28"/>
        <v>NO PRAZO</v>
      </c>
      <c r="AJ32" s="67">
        <f t="shared" si="37"/>
        <v>45529</v>
      </c>
      <c r="AK32" s="67">
        <v>45529</v>
      </c>
      <c r="AL32" s="4">
        <f t="shared" ca="1" si="29"/>
        <v>0</v>
      </c>
      <c r="AM32" s="4" t="str">
        <f t="shared" ca="1" si="30"/>
        <v>NO PRAZO</v>
      </c>
      <c r="AN32" s="67">
        <f t="shared" si="31"/>
        <v>45530</v>
      </c>
      <c r="AO32" s="67">
        <v>45530</v>
      </c>
      <c r="AP32" s="4">
        <f t="shared" ca="1" si="32"/>
        <v>0</v>
      </c>
      <c r="AQ32" s="4" t="str">
        <f t="shared" ca="1" si="33"/>
        <v>NO PRAZO</v>
      </c>
      <c r="AR32" s="67"/>
      <c r="AS32" s="67"/>
      <c r="AT32" s="67"/>
      <c r="AU32" s="71" t="s">
        <v>258</v>
      </c>
      <c r="AV32" s="4" t="s">
        <v>101</v>
      </c>
      <c r="AW32" s="4"/>
    </row>
    <row r="33" spans="2:49" ht="39.6" x14ac:dyDescent="0.3">
      <c r="B33" s="69" t="str">
        <f>IF(Tabela1[[#This Row],[DATA]],PROPER(TEXT(Tabela1[[#This Row],[DATA]],"mmm")),"")</f>
        <v>Ago</v>
      </c>
      <c r="C33" s="67">
        <v>45523</v>
      </c>
      <c r="D33" s="67" t="str">
        <f t="shared" si="0"/>
        <v>Segunda</v>
      </c>
      <c r="E33" s="67"/>
      <c r="F33" s="67" t="str">
        <f t="shared" si="1"/>
        <v/>
      </c>
      <c r="G33" s="67" t="s">
        <v>294</v>
      </c>
      <c r="H33" s="4" t="s">
        <v>489</v>
      </c>
      <c r="I33" s="4" t="s">
        <v>84</v>
      </c>
      <c r="J33" s="4" t="s">
        <v>212</v>
      </c>
      <c r="K33" s="4"/>
      <c r="L33" s="74" t="s">
        <v>293</v>
      </c>
      <c r="M33" s="4" t="s">
        <v>178</v>
      </c>
      <c r="N33" s="4" t="s">
        <v>675</v>
      </c>
      <c r="O33" s="4" t="s">
        <v>113</v>
      </c>
      <c r="P33" s="4" t="s">
        <v>93</v>
      </c>
      <c r="Q33" s="4" t="s">
        <v>5</v>
      </c>
      <c r="R33" s="4" t="s">
        <v>29</v>
      </c>
      <c r="S33" s="4" t="s">
        <v>161</v>
      </c>
      <c r="T33" s="67">
        <f t="shared" si="34"/>
        <v>45523</v>
      </c>
      <c r="U33" s="67">
        <v>45523</v>
      </c>
      <c r="V33" s="4">
        <f t="shared" ca="1" si="20"/>
        <v>0</v>
      </c>
      <c r="W33" s="4" t="str">
        <f t="shared" ca="1" si="21"/>
        <v>NO PRAZO</v>
      </c>
      <c r="X33" s="67">
        <f t="shared" si="22"/>
        <v>45524</v>
      </c>
      <c r="Y33" s="67">
        <v>45524</v>
      </c>
      <c r="Z33" s="4">
        <f t="shared" ca="1" si="23"/>
        <v>0</v>
      </c>
      <c r="AA33" s="4" t="str">
        <f t="shared" ca="1" si="24"/>
        <v>NO PRAZO</v>
      </c>
      <c r="AB33" s="67">
        <f t="shared" si="35"/>
        <v>45524</v>
      </c>
      <c r="AC33" s="67">
        <v>45524</v>
      </c>
      <c r="AD33" s="4">
        <f t="shared" ca="1" si="25"/>
        <v>0</v>
      </c>
      <c r="AE33" s="4" t="str">
        <f t="shared" ca="1" si="26"/>
        <v>NO PRAZO</v>
      </c>
      <c r="AF33" s="67">
        <f t="shared" si="36"/>
        <v>45531</v>
      </c>
      <c r="AG33" s="67">
        <v>45531</v>
      </c>
      <c r="AH33" s="4">
        <f t="shared" ca="1" si="27"/>
        <v>0</v>
      </c>
      <c r="AI33" s="4" t="str">
        <f t="shared" ca="1" si="28"/>
        <v>NO PRAZO</v>
      </c>
      <c r="AJ33" s="67">
        <f t="shared" si="37"/>
        <v>45532</v>
      </c>
      <c r="AK33" s="67"/>
      <c r="AL33" s="4">
        <f t="shared" ca="1" si="29"/>
        <v>789</v>
      </c>
      <c r="AM33" s="4" t="str">
        <f t="shared" ca="1" si="30"/>
        <v>ATRASADO</v>
      </c>
      <c r="AN33" s="67">
        <f t="shared" si="31"/>
        <v>45533</v>
      </c>
      <c r="AO33" s="67"/>
      <c r="AP33" s="4">
        <f t="shared" ca="1" si="32"/>
        <v>788</v>
      </c>
      <c r="AQ33" s="4" t="str">
        <f t="shared" ca="1" si="33"/>
        <v>ATRASADO</v>
      </c>
      <c r="AR33" s="67"/>
      <c r="AS33" s="67"/>
      <c r="AT33" s="67"/>
      <c r="AU33" s="71" t="s">
        <v>258</v>
      </c>
      <c r="AV33" s="4" t="s">
        <v>101</v>
      </c>
      <c r="AW33" s="4"/>
    </row>
    <row r="34" spans="2:49" ht="14.25" customHeight="1" x14ac:dyDescent="0.3">
      <c r="B34" s="69" t="str">
        <f>IF(Tabela1[[#This Row],[DATA]],PROPER(TEXT(Tabela1[[#This Row],[DATA]],"mmm")),"")</f>
        <v>Ago</v>
      </c>
      <c r="C34" s="67">
        <v>45527</v>
      </c>
      <c r="D34" s="67" t="str">
        <f t="shared" si="0"/>
        <v>Sexta</v>
      </c>
      <c r="E34" s="67"/>
      <c r="F34" s="67" t="str">
        <f t="shared" si="1"/>
        <v/>
      </c>
      <c r="G34" s="67" t="s">
        <v>295</v>
      </c>
      <c r="H34" s="4" t="s">
        <v>490</v>
      </c>
      <c r="I34" s="4" t="s">
        <v>84</v>
      </c>
      <c r="J34" s="4" t="s">
        <v>264</v>
      </c>
      <c r="K34" s="4"/>
      <c r="L34" s="77" t="s">
        <v>298</v>
      </c>
      <c r="M34" s="4" t="s">
        <v>296</v>
      </c>
      <c r="N34" s="4" t="s">
        <v>675</v>
      </c>
      <c r="O34" s="4" t="s">
        <v>118</v>
      </c>
      <c r="P34" s="4" t="s">
        <v>309</v>
      </c>
      <c r="Q34" s="4" t="s">
        <v>5</v>
      </c>
      <c r="R34" s="4" t="s">
        <v>29</v>
      </c>
      <c r="S34" s="4" t="s">
        <v>297</v>
      </c>
      <c r="T34" s="67">
        <f t="shared" si="34"/>
        <v>45527</v>
      </c>
      <c r="U34" s="67">
        <v>45527</v>
      </c>
      <c r="V34" s="4">
        <f t="shared" ca="1" si="20"/>
        <v>0</v>
      </c>
      <c r="W34" s="4" t="str">
        <f t="shared" ca="1" si="21"/>
        <v>NO PRAZO</v>
      </c>
      <c r="X34" s="67">
        <f t="shared" si="22"/>
        <v>45528</v>
      </c>
      <c r="Y34" s="67">
        <v>45528</v>
      </c>
      <c r="Z34" s="4">
        <f t="shared" ca="1" si="23"/>
        <v>0</v>
      </c>
      <c r="AA34" s="4" t="str">
        <f t="shared" ca="1" si="24"/>
        <v>NO PRAZO</v>
      </c>
      <c r="AB34" s="67">
        <f t="shared" si="35"/>
        <v>45528</v>
      </c>
      <c r="AC34" s="67">
        <v>45528</v>
      </c>
      <c r="AD34" s="4">
        <f t="shared" ca="1" si="25"/>
        <v>0</v>
      </c>
      <c r="AE34" s="4" t="str">
        <f t="shared" ca="1" si="26"/>
        <v>NO PRAZO</v>
      </c>
      <c r="AF34" s="67">
        <f t="shared" si="36"/>
        <v>45535</v>
      </c>
      <c r="AG34" s="67">
        <v>45535</v>
      </c>
      <c r="AH34" s="4">
        <f t="shared" ca="1" si="27"/>
        <v>0</v>
      </c>
      <c r="AI34" s="4" t="str">
        <f t="shared" ca="1" si="28"/>
        <v>NO PRAZO</v>
      </c>
      <c r="AJ34" s="67">
        <f t="shared" si="37"/>
        <v>45536</v>
      </c>
      <c r="AK34" s="67">
        <v>45536</v>
      </c>
      <c r="AL34" s="4">
        <f t="shared" ca="1" si="29"/>
        <v>0</v>
      </c>
      <c r="AM34" s="4" t="str">
        <f t="shared" ca="1" si="30"/>
        <v>NO PRAZO</v>
      </c>
      <c r="AN34" s="67">
        <f t="shared" si="31"/>
        <v>45537</v>
      </c>
      <c r="AO34" s="67"/>
      <c r="AP34" s="4">
        <f t="shared" ca="1" si="32"/>
        <v>784</v>
      </c>
      <c r="AQ34" s="4" t="str">
        <f t="shared" ca="1" si="33"/>
        <v>ATRASADO</v>
      </c>
      <c r="AR34" s="67"/>
      <c r="AS34" s="67"/>
      <c r="AT34" s="67"/>
      <c r="AU34" s="71" t="s">
        <v>257</v>
      </c>
      <c r="AV34" s="4" t="s">
        <v>101</v>
      </c>
      <c r="AW34" s="4"/>
    </row>
    <row r="35" spans="2:49" ht="39.6" x14ac:dyDescent="0.3">
      <c r="B35" s="69" t="str">
        <f>IF(Tabela1[[#This Row],[DATA]],PROPER(TEXT(Tabela1[[#This Row],[DATA]],"mmm")),"")</f>
        <v>Set</v>
      </c>
      <c r="C35" s="78">
        <v>45547</v>
      </c>
      <c r="D35" s="78" t="str">
        <f t="shared" si="0"/>
        <v>Quinta</v>
      </c>
      <c r="E35" s="78"/>
      <c r="F35" s="67" t="str">
        <f t="shared" si="1"/>
        <v/>
      </c>
      <c r="G35" s="78" t="s">
        <v>308</v>
      </c>
      <c r="H35" s="4" t="s">
        <v>457</v>
      </c>
      <c r="I35" s="79" t="s">
        <v>24</v>
      </c>
      <c r="J35" s="79" t="s">
        <v>267</v>
      </c>
      <c r="K35" s="79"/>
      <c r="L35" s="136" t="s">
        <v>306</v>
      </c>
      <c r="M35" s="79" t="s">
        <v>176</v>
      </c>
      <c r="N35" s="4" t="s">
        <v>675</v>
      </c>
      <c r="O35" s="79" t="s">
        <v>307</v>
      </c>
      <c r="P35" s="79" t="s">
        <v>93</v>
      </c>
      <c r="Q35" s="79" t="s">
        <v>5</v>
      </c>
      <c r="R35" s="79" t="s">
        <v>251</v>
      </c>
      <c r="S35" s="79" t="s">
        <v>161</v>
      </c>
      <c r="T35" s="78">
        <f t="shared" ref="T35" si="38">IF($C35="","",$C35)</f>
        <v>45547</v>
      </c>
      <c r="U35" s="78">
        <v>45547</v>
      </c>
      <c r="V35" s="79">
        <f t="shared" ref="V35" ca="1" si="39">IF($C35="","",IF(U35="",TODAY()-T35,U35-T35))</f>
        <v>0</v>
      </c>
      <c r="W35" s="79" t="str">
        <f t="shared" ref="W35" ca="1" si="40">IF($C35="","",IF(AND($C35&lt;&gt;"",U35=""),IF(T35=TODAY(),"VENCE HOJE",IF(T35&lt;TODAY(),"ATRASADO","NO PRAZO")),IF(U35&lt;=T35,"NO PRAZO","ATRASADO")))</f>
        <v>NO PRAZO</v>
      </c>
      <c r="X35" s="78">
        <f t="shared" ref="X35" si="41">IF($C35="","",$C35+1)</f>
        <v>45548</v>
      </c>
      <c r="Y35" s="78"/>
      <c r="Z35" s="79">
        <f t="shared" ref="Z35" ca="1" si="42">IF($C35="","",IF(Y35="",TODAY()-X35,Y35-X35))</f>
        <v>773</v>
      </c>
      <c r="AA35" s="79" t="str">
        <f t="shared" ref="AA35" ca="1" si="43">IF($C35="","",IF(AND($C35&lt;&gt;"",Y35=""),IF(X35=TODAY(),"VENCE HOJE",IF(X35&lt;TODAY(),"ATRASADO","NO PRAZO")),IF(Y35&lt;=X35,"NO PRAZO","ATRASADO")))</f>
        <v>ATRASADO</v>
      </c>
      <c r="AB35" s="78">
        <f t="shared" ref="AB35" si="44">IF($C35="","",$C35+1)</f>
        <v>45548</v>
      </c>
      <c r="AC35" s="78"/>
      <c r="AD35" s="79">
        <f t="shared" ref="AD35" ca="1" si="45">IF($C35="","",IF(AC35="",TODAY()-AB35,AC35-AB35))</f>
        <v>773</v>
      </c>
      <c r="AE35" s="79" t="str">
        <f t="shared" ref="AE35" ca="1" si="46">IF($C35="","",IF(AND($C35&lt;&gt;"",AC35=""),IF(AB35=TODAY(),"VENCE HOJE",IF(AB35&lt;TODAY(),"ATRASADO","NO PRAZO")),IF(AC35&lt;=AB35,"NO PRAZO","ATRASADO")))</f>
        <v>ATRASADO</v>
      </c>
      <c r="AF35" s="78">
        <f t="shared" ref="AF35" si="47">IF($C35="","",$C35+8)</f>
        <v>45555</v>
      </c>
      <c r="AG35" s="78"/>
      <c r="AH35" s="79">
        <f t="shared" ref="AH35" ca="1" si="48">IF($C35="","",IF(AG35="",TODAY()-AF35,AG35-AF35))</f>
        <v>766</v>
      </c>
      <c r="AI35" s="79" t="str">
        <f t="shared" ref="AI35" ca="1" si="49">IF($C35="","",IF(AND($C35&lt;&gt;"",AG35=""),IF(AF35=TODAY(),"VENCE HOJE",IF(AF35&lt;TODAY(),"ATRASADO","NO PRAZO")),IF(AG35&lt;=AF35,"NO PRAZO","ATRASADO")))</f>
        <v>ATRASADO</v>
      </c>
      <c r="AJ35" s="78">
        <f t="shared" ref="AJ35" si="50">IF($C35="","",$C35+9)</f>
        <v>45556</v>
      </c>
      <c r="AK35" s="78"/>
      <c r="AL35" s="79">
        <f t="shared" ref="AL35" ca="1" si="51">IF($C35="","",IF(AK35="",TODAY()-AJ35,AK35-AJ35))</f>
        <v>765</v>
      </c>
      <c r="AM35" s="79" t="str">
        <f t="shared" ref="AM35" ca="1" si="52">IF($C35="","",IF(AND($C35&lt;&gt;"",AK35=""),IF(AJ35=TODAY(),"VENCE HOJE",IF(AJ35&lt;TODAY(),"ATRASADO","NO PRAZO")),IF(AK35&lt;=AJ35,"NO PRAZO","ATRASADO")))</f>
        <v>ATRASADO</v>
      </c>
      <c r="AN35" s="78">
        <f t="shared" ref="AN35" si="53">IF($C35="","",$C35+10)</f>
        <v>45557</v>
      </c>
      <c r="AO35" s="78"/>
      <c r="AP35" s="79">
        <f t="shared" ref="AP35" ca="1" si="54">IF($C35="","",IF(AO35="",TODAY()-AN35,AO35-AN35))</f>
        <v>764</v>
      </c>
      <c r="AQ35" s="79" t="str">
        <f t="shared" ref="AQ35" ca="1" si="55">IF($C35="","",IF(AND($C35&lt;&gt;"",AO35=""),IF(AN35=TODAY(),"VENCE HOJE",IF(AN35&lt;TODAY(),"ATRASADO","NO PRAZO")),IF(AO35&lt;=AN35,"NO PRAZO","ATRASADO")))</f>
        <v>ATRASADO</v>
      </c>
      <c r="AR35" s="78"/>
      <c r="AS35" s="78"/>
      <c r="AT35" s="78"/>
      <c r="AU35" s="85" t="str">
        <f>IF(Tabela1[[#This Row],[Nº DA CAT]]="NA","INCIDENTE","ACIDENTE")</f>
        <v>INCIDENTE</v>
      </c>
      <c r="AV35" s="79" t="s">
        <v>101</v>
      </c>
      <c r="AW35" s="79"/>
    </row>
    <row r="36" spans="2:49" ht="39.6" x14ac:dyDescent="0.3">
      <c r="B36" s="69" t="str">
        <f>IF(Tabela1[[#This Row],[DATA]],PROPER(TEXT(Tabela1[[#This Row],[DATA]],"mmm")),"")</f>
        <v>Set</v>
      </c>
      <c r="C36" s="80">
        <v>45552</v>
      </c>
      <c r="D36" s="80" t="str">
        <f t="shared" si="0"/>
        <v>Terça</v>
      </c>
      <c r="E36" s="80"/>
      <c r="F36" s="67" t="str">
        <f t="shared" si="1"/>
        <v/>
      </c>
      <c r="G36" s="80" t="s">
        <v>310</v>
      </c>
      <c r="H36" s="4" t="s">
        <v>491</v>
      </c>
      <c r="I36" s="41" t="s">
        <v>84</v>
      </c>
      <c r="J36" s="41" t="s">
        <v>261</v>
      </c>
      <c r="K36" s="41"/>
      <c r="L36" s="137" t="s">
        <v>311</v>
      </c>
      <c r="M36" s="41" t="s">
        <v>126</v>
      </c>
      <c r="N36" s="4" t="s">
        <v>675</v>
      </c>
      <c r="O36" s="41" t="s">
        <v>312</v>
      </c>
      <c r="P36" s="41" t="s">
        <v>104</v>
      </c>
      <c r="Q36" s="41" t="s">
        <v>5</v>
      </c>
      <c r="R36" s="41" t="s">
        <v>29</v>
      </c>
      <c r="S36" s="41" t="s">
        <v>313</v>
      </c>
      <c r="T36" s="80">
        <f t="shared" ref="T36:T41" si="56">IF($C36="","",$C36)</f>
        <v>45552</v>
      </c>
      <c r="U36" s="80">
        <v>45552</v>
      </c>
      <c r="V36" s="41">
        <f t="shared" ref="V36:V41" ca="1" si="57">IF($C36="","",IF(U36="",TODAY()-T36,U36-T36))</f>
        <v>0</v>
      </c>
      <c r="W36" s="41" t="str">
        <f t="shared" ref="W36:W41" ca="1" si="58">IF($C36="","",IF(AND($C36&lt;&gt;"",U36=""),IF(T36=TODAY(),"VENCE HOJE",IF(T36&lt;TODAY(),"ATRASADO","NO PRAZO")),IF(U36&lt;=T36,"NO PRAZO","ATRASADO")))</f>
        <v>NO PRAZO</v>
      </c>
      <c r="X36" s="80">
        <f>IF($C36="","",$C36+1)</f>
        <v>45553</v>
      </c>
      <c r="Y36" s="80">
        <f>IF($C36="","",$C36+1)</f>
        <v>45553</v>
      </c>
      <c r="Z36" s="41">
        <f t="shared" ref="Z36:Z41" ca="1" si="59">IF($C36="","",IF(Y36="",TODAY()-X36,Y36-X36))</f>
        <v>0</v>
      </c>
      <c r="AA36" s="41" t="str">
        <f t="shared" ref="AA36:AA41" ca="1" si="60">IF($C36="","",IF(AND($C36&lt;&gt;"",Y36=""),IF(X36=TODAY(),"VENCE HOJE",IF(X36&lt;TODAY(),"ATRASADO","NO PRAZO")),IF(Y36&lt;=X36,"NO PRAZO","ATRASADO")))</f>
        <v>NO PRAZO</v>
      </c>
      <c r="AB36" s="80">
        <f>IF($C36="","",$C36+1)</f>
        <v>45553</v>
      </c>
      <c r="AC36" s="80">
        <f>IF($C36="","",$C36+1)</f>
        <v>45553</v>
      </c>
      <c r="AD36" s="41">
        <f t="shared" ref="AD36:AD41" ca="1" si="61">IF($C36="","",IF(AC36="",TODAY()-AB36,AC36-AB36))</f>
        <v>0</v>
      </c>
      <c r="AE36" s="41" t="str">
        <f t="shared" ref="AE36:AE41" ca="1" si="62">IF($C36="","",IF(AND($C36&lt;&gt;"",AC36=""),IF(AB36=TODAY(),"VENCE HOJE",IF(AB36&lt;TODAY(),"ATRASADO","NO PRAZO")),IF(AC36&lt;=AB36,"NO PRAZO","ATRASADO")))</f>
        <v>NO PRAZO</v>
      </c>
      <c r="AF36" s="80">
        <f>IF($C36="","",$C36+8)</f>
        <v>45560</v>
      </c>
      <c r="AG36" s="80">
        <f>IF($C36="","",$C36+8)</f>
        <v>45560</v>
      </c>
      <c r="AH36" s="41">
        <f t="shared" ref="AH36:AH41" ca="1" si="63">IF($C36="","",IF(AG36="",TODAY()-AF36,AG36-AF36))</f>
        <v>0</v>
      </c>
      <c r="AI36" s="41" t="str">
        <f t="shared" ref="AI36:AI41" ca="1" si="64">IF($C36="","",IF(AND($C36&lt;&gt;"",AG36=""),IF(AF36=TODAY(),"VENCE HOJE",IF(AF36&lt;TODAY(),"ATRASADO","NO PRAZO")),IF(AG36&lt;=AF36,"NO PRAZO","ATRASADO")))</f>
        <v>NO PRAZO</v>
      </c>
      <c r="AJ36" s="80">
        <f>IF($C36="","",$C36+9)</f>
        <v>45561</v>
      </c>
      <c r="AK36" s="80">
        <f>IF($C36="","",$C36+9)</f>
        <v>45561</v>
      </c>
      <c r="AL36" s="41">
        <f t="shared" ref="AL36:AL41" ca="1" si="65">IF($C36="","",IF(AK36="",TODAY()-AJ36,AK36-AJ36))</f>
        <v>0</v>
      </c>
      <c r="AM36" s="41" t="str">
        <f t="shared" ref="AM36:AM41" ca="1" si="66">IF($C36="","",IF(AND($C36&lt;&gt;"",AK36=""),IF(AJ36=TODAY(),"VENCE HOJE",IF(AJ36&lt;TODAY(),"ATRASADO","NO PRAZO")),IF(AK36&lt;=AJ36,"NO PRAZO","ATRASADO")))</f>
        <v>NO PRAZO</v>
      </c>
      <c r="AN36" s="80">
        <f>IF($C36="","",$C36+10)</f>
        <v>45562</v>
      </c>
      <c r="AO36" s="80">
        <f>IF($C36="","",$C36+10)</f>
        <v>45562</v>
      </c>
      <c r="AP36" s="41">
        <f t="shared" ref="AP36:AP41" ca="1" si="67">IF($C36="","",IF(AO36="",TODAY()-AN36,AO36-AN36))</f>
        <v>0</v>
      </c>
      <c r="AQ36" s="41" t="str">
        <f t="shared" ref="AQ36:AQ41" ca="1" si="68">IF($C36="","",IF(AND($C36&lt;&gt;"",AO36=""),IF(AN36=TODAY(),"VENCE HOJE",IF(AN36&lt;TODAY(),"ATRASADO","NO PRAZO")),IF(AO36&lt;=AN36,"NO PRAZO","ATRASADO")))</f>
        <v>NO PRAZO</v>
      </c>
      <c r="AR36" s="80"/>
      <c r="AS36" s="80"/>
      <c r="AT36" s="80"/>
      <c r="AU36" s="85" t="s">
        <v>257</v>
      </c>
      <c r="AV36" s="41" t="s">
        <v>101</v>
      </c>
      <c r="AW36" s="41"/>
    </row>
    <row r="37" spans="2:49" ht="52.8" x14ac:dyDescent="0.3">
      <c r="B37" s="69" t="str">
        <f>IF(Tabela1[[#This Row],[DATA]],PROPER(TEXT(Tabela1[[#This Row],[DATA]],"mmm")),"")</f>
        <v>Out</v>
      </c>
      <c r="C37" s="67">
        <v>45582</v>
      </c>
      <c r="D37" s="67" t="str">
        <f t="shared" si="0"/>
        <v>Quinta</v>
      </c>
      <c r="E37" s="67"/>
      <c r="F37" s="67" t="str">
        <f t="shared" si="1"/>
        <v/>
      </c>
      <c r="G37" s="67" t="s">
        <v>315</v>
      </c>
      <c r="H37" s="4" t="s">
        <v>343</v>
      </c>
      <c r="I37" s="4" t="s">
        <v>222</v>
      </c>
      <c r="J37" s="41" t="s">
        <v>261</v>
      </c>
      <c r="K37" s="41"/>
      <c r="L37" s="74" t="s">
        <v>316</v>
      </c>
      <c r="M37" s="4" t="s">
        <v>317</v>
      </c>
      <c r="N37" s="4" t="s">
        <v>675</v>
      </c>
      <c r="O37" s="4" t="s">
        <v>96</v>
      </c>
      <c r="P37" s="4" t="s">
        <v>97</v>
      </c>
      <c r="Q37" s="4" t="s">
        <v>5</v>
      </c>
      <c r="R37" s="4" t="s">
        <v>29</v>
      </c>
      <c r="S37" s="4" t="s">
        <v>318</v>
      </c>
      <c r="T37" s="67">
        <f t="shared" si="56"/>
        <v>45582</v>
      </c>
      <c r="U37" s="67">
        <v>45582</v>
      </c>
      <c r="V37" s="4">
        <f t="shared" ca="1" si="57"/>
        <v>0</v>
      </c>
      <c r="W37" s="4" t="str">
        <f t="shared" ca="1" si="58"/>
        <v>NO PRAZO</v>
      </c>
      <c r="X37" s="67">
        <f t="shared" ref="X37:Y44" si="69">IF($C37="","",$C37+1)</f>
        <v>45583</v>
      </c>
      <c r="Y37" s="67">
        <v>45583</v>
      </c>
      <c r="Z37" s="4">
        <f t="shared" ca="1" si="59"/>
        <v>0</v>
      </c>
      <c r="AA37" s="4" t="str">
        <f t="shared" ca="1" si="60"/>
        <v>NO PRAZO</v>
      </c>
      <c r="AB37" s="67">
        <f t="shared" ref="AB37:AC44" si="70">IF($C37="","",$C37+1)</f>
        <v>45583</v>
      </c>
      <c r="AC37" s="67">
        <v>45553</v>
      </c>
      <c r="AD37" s="4">
        <f t="shared" ca="1" si="61"/>
        <v>-30</v>
      </c>
      <c r="AE37" s="4" t="str">
        <f t="shared" ca="1" si="62"/>
        <v>NO PRAZO</v>
      </c>
      <c r="AF37" s="67">
        <f t="shared" ref="AF37:AG44" si="71">IF($C37="","",$C37+8)</f>
        <v>45590</v>
      </c>
      <c r="AG37" s="67">
        <v>45590</v>
      </c>
      <c r="AH37" s="4">
        <f t="shared" ca="1" si="63"/>
        <v>0</v>
      </c>
      <c r="AI37" s="4" t="str">
        <f t="shared" ca="1" si="64"/>
        <v>NO PRAZO</v>
      </c>
      <c r="AJ37" s="67">
        <f t="shared" ref="AJ37:AK44" si="72">IF($C37="","",$C37+9)</f>
        <v>45591</v>
      </c>
      <c r="AK37" s="67">
        <v>45591</v>
      </c>
      <c r="AL37" s="4">
        <f t="shared" ca="1" si="65"/>
        <v>0</v>
      </c>
      <c r="AM37" s="4" t="str">
        <f t="shared" ca="1" si="66"/>
        <v>NO PRAZO</v>
      </c>
      <c r="AN37" s="67">
        <f t="shared" ref="AN37:AO44" si="73">IF($C37="","",$C37+10)</f>
        <v>45592</v>
      </c>
      <c r="AO37" s="67">
        <v>45592</v>
      </c>
      <c r="AP37" s="4">
        <f t="shared" ca="1" si="67"/>
        <v>0</v>
      </c>
      <c r="AQ37" s="4" t="str">
        <f t="shared" ca="1" si="68"/>
        <v>NO PRAZO</v>
      </c>
      <c r="AR37" s="67"/>
      <c r="AS37" s="67"/>
      <c r="AT37" s="67"/>
      <c r="AU37" s="72" t="s">
        <v>257</v>
      </c>
      <c r="AV37" s="4" t="s">
        <v>101</v>
      </c>
      <c r="AW37" s="4"/>
    </row>
    <row r="38" spans="2:49" ht="39.6" x14ac:dyDescent="0.3">
      <c r="B38" s="69" t="str">
        <f>IF(Tabela1[[#This Row],[DATA]],PROPER(TEXT(Tabela1[[#This Row],[DATA]],"mmm")),"")</f>
        <v>Out</v>
      </c>
      <c r="C38" s="81">
        <v>45583</v>
      </c>
      <c r="D38" s="81" t="str">
        <f t="shared" si="0"/>
        <v>Sexta</v>
      </c>
      <c r="E38" s="81"/>
      <c r="F38" s="67" t="str">
        <f t="shared" si="1"/>
        <v/>
      </c>
      <c r="G38" s="81" t="s">
        <v>319</v>
      </c>
      <c r="H38" s="4" t="s">
        <v>503</v>
      </c>
      <c r="I38" s="82" t="s">
        <v>115</v>
      </c>
      <c r="J38" s="66" t="s">
        <v>300</v>
      </c>
      <c r="K38" s="66"/>
      <c r="L38" s="138" t="s">
        <v>320</v>
      </c>
      <c r="M38" s="82" t="s">
        <v>287</v>
      </c>
      <c r="N38" s="4" t="s">
        <v>676</v>
      </c>
      <c r="O38" s="82" t="s">
        <v>321</v>
      </c>
      <c r="P38" s="82" t="s">
        <v>97</v>
      </c>
      <c r="Q38" s="82" t="s">
        <v>5</v>
      </c>
      <c r="R38" s="82" t="s">
        <v>251</v>
      </c>
      <c r="S38" s="82" t="s">
        <v>161</v>
      </c>
      <c r="T38" s="81">
        <f t="shared" si="56"/>
        <v>45583</v>
      </c>
      <c r="U38" s="81">
        <v>45583</v>
      </c>
      <c r="V38" s="82">
        <f t="shared" ca="1" si="57"/>
        <v>0</v>
      </c>
      <c r="W38" s="82" t="str">
        <f t="shared" ca="1" si="58"/>
        <v>NO PRAZO</v>
      </c>
      <c r="X38" s="81">
        <f t="shared" si="69"/>
        <v>45584</v>
      </c>
      <c r="Y38" s="81">
        <f>IF($C38="","",$C38+1)</f>
        <v>45584</v>
      </c>
      <c r="Z38" s="82">
        <f t="shared" ca="1" si="59"/>
        <v>0</v>
      </c>
      <c r="AA38" s="82" t="str">
        <f t="shared" ca="1" si="60"/>
        <v>NO PRAZO</v>
      </c>
      <c r="AB38" s="81">
        <f t="shared" si="70"/>
        <v>45584</v>
      </c>
      <c r="AC38" s="81">
        <f>IF($C38="","",$C38+1)</f>
        <v>45584</v>
      </c>
      <c r="AD38" s="82">
        <f t="shared" ca="1" si="61"/>
        <v>0</v>
      </c>
      <c r="AE38" s="82" t="str">
        <f t="shared" ca="1" si="62"/>
        <v>NO PRAZO</v>
      </c>
      <c r="AF38" s="81">
        <f t="shared" si="71"/>
        <v>45591</v>
      </c>
      <c r="AG38" s="81">
        <f>IF($C38="","",$C38+8)</f>
        <v>45591</v>
      </c>
      <c r="AH38" s="82">
        <f t="shared" ca="1" si="63"/>
        <v>0</v>
      </c>
      <c r="AI38" s="82" t="str">
        <f t="shared" ca="1" si="64"/>
        <v>NO PRAZO</v>
      </c>
      <c r="AJ38" s="81">
        <f t="shared" si="72"/>
        <v>45592</v>
      </c>
      <c r="AK38" s="81">
        <f>IF($C38="","",$C38+9)</f>
        <v>45592</v>
      </c>
      <c r="AL38" s="82">
        <f t="shared" ca="1" si="65"/>
        <v>0</v>
      </c>
      <c r="AM38" s="82" t="str">
        <f t="shared" ca="1" si="66"/>
        <v>NO PRAZO</v>
      </c>
      <c r="AN38" s="81">
        <f t="shared" si="73"/>
        <v>45593</v>
      </c>
      <c r="AO38" s="81">
        <f>IF($C38="","",$C38+10)</f>
        <v>45593</v>
      </c>
      <c r="AP38" s="82">
        <f t="shared" ca="1" si="67"/>
        <v>0</v>
      </c>
      <c r="AQ38" s="82" t="str">
        <f t="shared" ca="1" si="68"/>
        <v>NO PRAZO</v>
      </c>
      <c r="AR38" s="81"/>
      <c r="AS38" s="81"/>
      <c r="AT38" s="81"/>
      <c r="AU38" s="71" t="s">
        <v>601</v>
      </c>
      <c r="AV38" s="82" t="s">
        <v>101</v>
      </c>
      <c r="AW38" s="82"/>
    </row>
    <row r="39" spans="2:49" ht="52.8" x14ac:dyDescent="0.3">
      <c r="B39" s="69" t="str">
        <f>IF(Tabela1[[#This Row],[DATA]],PROPER(TEXT(Tabela1[[#This Row],[DATA]],"mmm")),"")</f>
        <v>Out</v>
      </c>
      <c r="C39" s="83">
        <v>45584</v>
      </c>
      <c r="D39" s="83" t="str">
        <f t="shared" si="0"/>
        <v>Sábado</v>
      </c>
      <c r="E39" s="83"/>
      <c r="F39" s="67" t="str">
        <f t="shared" si="1"/>
        <v/>
      </c>
      <c r="G39" s="83" t="s">
        <v>322</v>
      </c>
      <c r="H39" s="4" t="s">
        <v>492</v>
      </c>
      <c r="I39" s="84" t="s">
        <v>84</v>
      </c>
      <c r="J39" s="84" t="s">
        <v>267</v>
      </c>
      <c r="K39" s="84"/>
      <c r="L39" s="139" t="s">
        <v>323</v>
      </c>
      <c r="M39" s="84" t="s">
        <v>305</v>
      </c>
      <c r="N39" s="4" t="s">
        <v>675</v>
      </c>
      <c r="O39" s="84" t="s">
        <v>324</v>
      </c>
      <c r="P39" s="84" t="s">
        <v>104</v>
      </c>
      <c r="Q39" s="84" t="s">
        <v>5</v>
      </c>
      <c r="R39" s="84" t="s">
        <v>251</v>
      </c>
      <c r="S39" s="84" t="s">
        <v>161</v>
      </c>
      <c r="T39" s="83">
        <f t="shared" si="56"/>
        <v>45584</v>
      </c>
      <c r="U39" s="83">
        <f>IF($C39="","",$C39)</f>
        <v>45584</v>
      </c>
      <c r="V39" s="84">
        <f t="shared" ca="1" si="57"/>
        <v>0</v>
      </c>
      <c r="W39" s="84" t="str">
        <f t="shared" ca="1" si="58"/>
        <v>NO PRAZO</v>
      </c>
      <c r="X39" s="83">
        <f t="shared" si="69"/>
        <v>45585</v>
      </c>
      <c r="Y39" s="83">
        <f>IF($C39="","",$C39+1)</f>
        <v>45585</v>
      </c>
      <c r="Z39" s="84">
        <f t="shared" ca="1" si="59"/>
        <v>0</v>
      </c>
      <c r="AA39" s="84" t="str">
        <f t="shared" ca="1" si="60"/>
        <v>NO PRAZO</v>
      </c>
      <c r="AB39" s="83">
        <f t="shared" si="70"/>
        <v>45585</v>
      </c>
      <c r="AC39" s="83">
        <f>IF($C39="","",$C39+1)</f>
        <v>45585</v>
      </c>
      <c r="AD39" s="84">
        <f t="shared" ca="1" si="61"/>
        <v>0</v>
      </c>
      <c r="AE39" s="84" t="str">
        <f t="shared" ca="1" si="62"/>
        <v>NO PRAZO</v>
      </c>
      <c r="AF39" s="83">
        <f t="shared" si="71"/>
        <v>45592</v>
      </c>
      <c r="AG39" s="83">
        <f>IF($C39="","",$C39+8)</f>
        <v>45592</v>
      </c>
      <c r="AH39" s="84">
        <f t="shared" ca="1" si="63"/>
        <v>0</v>
      </c>
      <c r="AI39" s="84" t="str">
        <f t="shared" ca="1" si="64"/>
        <v>NO PRAZO</v>
      </c>
      <c r="AJ39" s="83">
        <f t="shared" si="72"/>
        <v>45593</v>
      </c>
      <c r="AK39" s="83">
        <f>IF($C39="","",$C39+9)</f>
        <v>45593</v>
      </c>
      <c r="AL39" s="84">
        <f t="shared" ca="1" si="65"/>
        <v>0</v>
      </c>
      <c r="AM39" s="84" t="str">
        <f t="shared" ca="1" si="66"/>
        <v>NO PRAZO</v>
      </c>
      <c r="AN39" s="83">
        <f t="shared" si="73"/>
        <v>45594</v>
      </c>
      <c r="AO39" s="83">
        <f>IF($C39="","",$C39+10)</f>
        <v>45594</v>
      </c>
      <c r="AP39" s="84">
        <f t="shared" ca="1" si="67"/>
        <v>0</v>
      </c>
      <c r="AQ39" s="84" t="str">
        <f t="shared" ca="1" si="68"/>
        <v>NO PRAZO</v>
      </c>
      <c r="AR39" s="83"/>
      <c r="AS39" s="83"/>
      <c r="AT39" s="83"/>
      <c r="AU39" s="71" t="s">
        <v>601</v>
      </c>
      <c r="AV39" s="84" t="s">
        <v>101</v>
      </c>
      <c r="AW39" s="84"/>
    </row>
    <row r="40" spans="2:49" ht="39.6" x14ac:dyDescent="0.3">
      <c r="B40" s="69" t="str">
        <f>IF(Tabela1[[#This Row],[DATA]],PROPER(TEXT(Tabela1[[#This Row],[DATA]],"mmm")),"")</f>
        <v>Nov</v>
      </c>
      <c r="C40" s="83">
        <v>45609</v>
      </c>
      <c r="D40" s="83" t="str">
        <f t="shared" si="0"/>
        <v>Quarta</v>
      </c>
      <c r="E40" s="83"/>
      <c r="F40" s="67" t="str">
        <f t="shared" si="1"/>
        <v/>
      </c>
      <c r="G40" s="83" t="s">
        <v>325</v>
      </c>
      <c r="H40" s="4" t="s">
        <v>493</v>
      </c>
      <c r="I40" s="84" t="s">
        <v>84</v>
      </c>
      <c r="J40" s="84" t="s">
        <v>326</v>
      </c>
      <c r="K40" s="84"/>
      <c r="L40" s="139" t="s">
        <v>327</v>
      </c>
      <c r="M40" s="84" t="s">
        <v>292</v>
      </c>
      <c r="N40" s="4" t="s">
        <v>676</v>
      </c>
      <c r="O40" s="84" t="s">
        <v>25</v>
      </c>
      <c r="P40" s="84" t="s">
        <v>26</v>
      </c>
      <c r="Q40" s="84" t="s">
        <v>5</v>
      </c>
      <c r="R40" s="84" t="s">
        <v>29</v>
      </c>
      <c r="S40" s="84" t="s">
        <v>328</v>
      </c>
      <c r="T40" s="83">
        <f t="shared" si="56"/>
        <v>45609</v>
      </c>
      <c r="U40" s="83">
        <v>45578</v>
      </c>
      <c r="V40" s="84">
        <f t="shared" ca="1" si="57"/>
        <v>-31</v>
      </c>
      <c r="W40" s="84" t="str">
        <f t="shared" ca="1" si="58"/>
        <v>NO PRAZO</v>
      </c>
      <c r="X40" s="83">
        <f t="shared" si="69"/>
        <v>45610</v>
      </c>
      <c r="Y40" s="83">
        <v>45610</v>
      </c>
      <c r="Z40" s="84">
        <f t="shared" ca="1" si="59"/>
        <v>0</v>
      </c>
      <c r="AA40" s="84" t="str">
        <f t="shared" ca="1" si="60"/>
        <v>NO PRAZO</v>
      </c>
      <c r="AB40" s="83">
        <f t="shared" si="70"/>
        <v>45610</v>
      </c>
      <c r="AC40" s="83">
        <v>45610</v>
      </c>
      <c r="AD40" s="84">
        <f t="shared" ca="1" si="61"/>
        <v>0</v>
      </c>
      <c r="AE40" s="84" t="str">
        <f t="shared" ca="1" si="62"/>
        <v>NO PRAZO</v>
      </c>
      <c r="AF40" s="83">
        <f t="shared" si="71"/>
        <v>45617</v>
      </c>
      <c r="AG40" s="83">
        <v>45617</v>
      </c>
      <c r="AH40" s="84">
        <f t="shared" ca="1" si="63"/>
        <v>0</v>
      </c>
      <c r="AI40" s="84" t="str">
        <f t="shared" ca="1" si="64"/>
        <v>NO PRAZO</v>
      </c>
      <c r="AJ40" s="83">
        <f t="shared" si="72"/>
        <v>45618</v>
      </c>
      <c r="AK40" s="83">
        <v>45618</v>
      </c>
      <c r="AL40" s="84">
        <f t="shared" ca="1" si="65"/>
        <v>0</v>
      </c>
      <c r="AM40" s="84" t="str">
        <f t="shared" ca="1" si="66"/>
        <v>NO PRAZO</v>
      </c>
      <c r="AN40" s="83">
        <f t="shared" si="73"/>
        <v>45619</v>
      </c>
      <c r="AO40" s="83">
        <v>45619</v>
      </c>
      <c r="AP40" s="84">
        <f t="shared" ca="1" si="67"/>
        <v>0</v>
      </c>
      <c r="AQ40" s="84" t="str">
        <f t="shared" ca="1" si="68"/>
        <v>NO PRAZO</v>
      </c>
      <c r="AR40" s="83"/>
      <c r="AS40" s="83"/>
      <c r="AT40" s="83"/>
      <c r="AU40" s="71" t="s">
        <v>601</v>
      </c>
      <c r="AV40" s="84" t="s">
        <v>101</v>
      </c>
      <c r="AW40" s="84"/>
    </row>
    <row r="41" spans="2:49" ht="26.4" x14ac:dyDescent="0.3">
      <c r="B41" s="69" t="str">
        <f>IF(Tabela1[[#This Row],[DATA]],PROPER(TEXT(Tabela1[[#This Row],[DATA]],"mmm")),"")</f>
        <v>Fev</v>
      </c>
      <c r="C41" s="83">
        <v>45689</v>
      </c>
      <c r="D41" s="83" t="str">
        <f t="shared" si="0"/>
        <v>Sábado</v>
      </c>
      <c r="E41" s="83"/>
      <c r="F41" s="67" t="str">
        <f t="shared" si="1"/>
        <v/>
      </c>
      <c r="G41" s="83" t="s">
        <v>332</v>
      </c>
      <c r="H41" s="4" t="s">
        <v>460</v>
      </c>
      <c r="I41" s="84" t="s">
        <v>24</v>
      </c>
      <c r="J41" s="41" t="s">
        <v>326</v>
      </c>
      <c r="K41" s="41"/>
      <c r="L41" s="139" t="s">
        <v>330</v>
      </c>
      <c r="M41" s="84" t="s">
        <v>329</v>
      </c>
      <c r="N41" s="4" t="s">
        <v>676</v>
      </c>
      <c r="O41" s="84" t="s">
        <v>331</v>
      </c>
      <c r="P41" s="84" t="s">
        <v>79</v>
      </c>
      <c r="Q41" s="84" t="s">
        <v>5</v>
      </c>
      <c r="R41" s="84" t="s">
        <v>29</v>
      </c>
      <c r="S41" s="84" t="s">
        <v>161</v>
      </c>
      <c r="T41" s="83">
        <f t="shared" si="56"/>
        <v>45689</v>
      </c>
      <c r="U41" s="83">
        <v>45691</v>
      </c>
      <c r="V41" s="84">
        <f t="shared" ca="1" si="57"/>
        <v>2</v>
      </c>
      <c r="W41" s="84" t="str">
        <f t="shared" ca="1" si="58"/>
        <v>ATRASADO</v>
      </c>
      <c r="X41" s="83">
        <f t="shared" si="69"/>
        <v>45690</v>
      </c>
      <c r="Y41" s="83">
        <f t="shared" si="69"/>
        <v>45690</v>
      </c>
      <c r="Z41" s="84">
        <f t="shared" ca="1" si="59"/>
        <v>0</v>
      </c>
      <c r="AA41" s="84" t="str">
        <f t="shared" ca="1" si="60"/>
        <v>NO PRAZO</v>
      </c>
      <c r="AB41" s="83">
        <f t="shared" si="70"/>
        <v>45690</v>
      </c>
      <c r="AC41" s="83">
        <f t="shared" si="70"/>
        <v>45690</v>
      </c>
      <c r="AD41" s="84">
        <f t="shared" ca="1" si="61"/>
        <v>0</v>
      </c>
      <c r="AE41" s="84" t="str">
        <f t="shared" ca="1" si="62"/>
        <v>NO PRAZO</v>
      </c>
      <c r="AF41" s="83">
        <f t="shared" si="71"/>
        <v>45697</v>
      </c>
      <c r="AG41" s="83">
        <f t="shared" si="71"/>
        <v>45697</v>
      </c>
      <c r="AH41" s="84">
        <f t="shared" ca="1" si="63"/>
        <v>0</v>
      </c>
      <c r="AI41" s="84" t="str">
        <f t="shared" ca="1" si="64"/>
        <v>NO PRAZO</v>
      </c>
      <c r="AJ41" s="83">
        <f t="shared" si="72"/>
        <v>45698</v>
      </c>
      <c r="AK41" s="83">
        <f t="shared" si="72"/>
        <v>45698</v>
      </c>
      <c r="AL41" s="84">
        <f t="shared" ca="1" si="65"/>
        <v>0</v>
      </c>
      <c r="AM41" s="84" t="str">
        <f t="shared" ca="1" si="66"/>
        <v>NO PRAZO</v>
      </c>
      <c r="AN41" s="83">
        <f t="shared" si="73"/>
        <v>45699</v>
      </c>
      <c r="AO41" s="83">
        <f t="shared" si="73"/>
        <v>45699</v>
      </c>
      <c r="AP41" s="84">
        <f t="shared" ca="1" si="67"/>
        <v>0</v>
      </c>
      <c r="AQ41" s="84" t="str">
        <f t="shared" ca="1" si="68"/>
        <v>NO PRAZO</v>
      </c>
      <c r="AR41" s="83"/>
      <c r="AS41" s="83"/>
      <c r="AT41" s="83"/>
      <c r="AU41" s="71" t="s">
        <v>601</v>
      </c>
      <c r="AV41" s="84" t="s">
        <v>101</v>
      </c>
      <c r="AW41" s="84" t="s">
        <v>101</v>
      </c>
    </row>
    <row r="42" spans="2:49" ht="39.6" x14ac:dyDescent="0.3">
      <c r="B42" s="69" t="str">
        <f>IF(Tabela1[[#This Row],[DATA]],PROPER(TEXT(Tabela1[[#This Row],[DATA]],"mmm")),"")</f>
        <v>Fev</v>
      </c>
      <c r="C42" s="83">
        <v>45693</v>
      </c>
      <c r="D42" s="83" t="str">
        <f t="shared" ref="D42:D73" si="74">CHOOSE(WEEKDAY(C42, 2), "Segunda", "Terça", "Quarta", "Quinta", "Sexta", "Sábado", "Domingo")</f>
        <v>Quarta</v>
      </c>
      <c r="E42" s="83"/>
      <c r="F42" s="67" t="str">
        <f t="shared" si="1"/>
        <v/>
      </c>
      <c r="G42" s="83" t="s">
        <v>334</v>
      </c>
      <c r="H42" s="4" t="s">
        <v>461</v>
      </c>
      <c r="I42" s="84" t="s">
        <v>24</v>
      </c>
      <c r="J42" s="84" t="s">
        <v>326</v>
      </c>
      <c r="K42" s="84"/>
      <c r="L42" s="139" t="s">
        <v>333</v>
      </c>
      <c r="M42" s="84" t="s">
        <v>335</v>
      </c>
      <c r="N42" s="4" t="s">
        <v>676</v>
      </c>
      <c r="O42" s="84" t="s">
        <v>96</v>
      </c>
      <c r="P42" s="84" t="s">
        <v>97</v>
      </c>
      <c r="Q42" s="84" t="s">
        <v>5</v>
      </c>
      <c r="R42" s="84" t="s">
        <v>29</v>
      </c>
      <c r="S42" s="84" t="s">
        <v>161</v>
      </c>
      <c r="T42" s="83">
        <f t="shared" ref="T42:T47" si="75">IF($C42="","",$C42)</f>
        <v>45693</v>
      </c>
      <c r="U42" s="83">
        <v>45693</v>
      </c>
      <c r="V42" s="84">
        <f t="shared" ref="V42:V47" ca="1" si="76">IF($C42="","",IF(U42="",TODAY()-T42,U42-T42))</f>
        <v>0</v>
      </c>
      <c r="W42" s="84" t="str">
        <f t="shared" ref="W42:W47" ca="1" si="77">IF($C42="","",IF(AND($C42&lt;&gt;"",U42=""),IF(T42=TODAY(),"VENCE HOJE",IF(T42&lt;TODAY(),"ATRASADO","NO PRAZO")),IF(U42&lt;=T42,"NO PRAZO","ATRASADO")))</f>
        <v>NO PRAZO</v>
      </c>
      <c r="X42" s="83">
        <f t="shared" si="69"/>
        <v>45694</v>
      </c>
      <c r="Y42" s="83">
        <v>45694</v>
      </c>
      <c r="Z42" s="84">
        <f t="shared" ref="Z42:Z47" ca="1" si="78">IF($C42="","",IF(Y42="",TODAY()-X42,Y42-X42))</f>
        <v>0</v>
      </c>
      <c r="AA42" s="84" t="str">
        <f t="shared" ref="AA42:AA47" ca="1" si="79">IF($C42="","",IF(AND($C42&lt;&gt;"",Y42=""),IF(X42=TODAY(),"VENCE HOJE",IF(X42&lt;TODAY(),"ATRASADO","NO PRAZO")),IF(Y42&lt;=X42,"NO PRAZO","ATRASADO")))</f>
        <v>NO PRAZO</v>
      </c>
      <c r="AB42" s="83">
        <f t="shared" si="70"/>
        <v>45694</v>
      </c>
      <c r="AC42" s="83">
        <v>45694</v>
      </c>
      <c r="AD42" s="84">
        <f t="shared" ref="AD42:AD47" ca="1" si="80">IF($C42="","",IF(AC42="",TODAY()-AB42,AC42-AB42))</f>
        <v>0</v>
      </c>
      <c r="AE42" s="84" t="str">
        <f t="shared" ref="AE42:AE47" ca="1" si="81">IF($C42="","",IF(AND($C42&lt;&gt;"",AC42=""),IF(AB42=TODAY(),"VENCE HOJE",IF(AB42&lt;TODAY(),"ATRASADO","NO PRAZO")),IF(AC42&lt;=AB42,"NO PRAZO","ATRASADO")))</f>
        <v>NO PRAZO</v>
      </c>
      <c r="AF42" s="83">
        <f t="shared" si="71"/>
        <v>45701</v>
      </c>
      <c r="AG42" s="83">
        <f t="shared" si="71"/>
        <v>45701</v>
      </c>
      <c r="AH42" s="84">
        <f t="shared" ref="AH42:AH47" ca="1" si="82">IF($C42="","",IF(AG42="",TODAY()-AF42,AG42-AF42))</f>
        <v>0</v>
      </c>
      <c r="AI42" s="84" t="str">
        <f t="shared" ref="AI42:AI47" ca="1" si="83">IF($C42="","",IF(AND($C42&lt;&gt;"",AG42=""),IF(AF42=TODAY(),"VENCE HOJE",IF(AF42&lt;TODAY(),"ATRASADO","NO PRAZO")),IF(AG42&lt;=AF42,"NO PRAZO","ATRASADO")))</f>
        <v>NO PRAZO</v>
      </c>
      <c r="AJ42" s="83">
        <f t="shared" si="72"/>
        <v>45702</v>
      </c>
      <c r="AK42" s="83">
        <f t="shared" si="72"/>
        <v>45702</v>
      </c>
      <c r="AL42" s="84">
        <f t="shared" ref="AL42:AL47" ca="1" si="84">IF($C42="","",IF(AK42="",TODAY()-AJ42,AK42-AJ42))</f>
        <v>0</v>
      </c>
      <c r="AM42" s="84" t="str">
        <f t="shared" ref="AM42:AM47" ca="1" si="85">IF($C42="","",IF(AND($C42&lt;&gt;"",AK42=""),IF(AJ42=TODAY(),"VENCE HOJE",IF(AJ42&lt;TODAY(),"ATRASADO","NO PRAZO")),IF(AK42&lt;=AJ42,"NO PRAZO","ATRASADO")))</f>
        <v>NO PRAZO</v>
      </c>
      <c r="AN42" s="83">
        <f t="shared" si="73"/>
        <v>45703</v>
      </c>
      <c r="AO42" s="83">
        <f t="shared" si="73"/>
        <v>45703</v>
      </c>
      <c r="AP42" s="84">
        <f t="shared" ref="AP42:AP47" ca="1" si="86">IF($C42="","",IF(AO42="",TODAY()-AN42,AO42-AN42))</f>
        <v>0</v>
      </c>
      <c r="AQ42" s="84" t="str">
        <f t="shared" ref="AQ42:AQ47" ca="1" si="87">IF($C42="","",IF(AND($C42&lt;&gt;"",AO42=""),IF(AN42=TODAY(),"VENCE HOJE",IF(AN42&lt;TODAY(),"ATRASADO","NO PRAZO")),IF(AO42&lt;=AN42,"NO PRAZO","ATRASADO")))</f>
        <v>NO PRAZO</v>
      </c>
      <c r="AR42" s="83"/>
      <c r="AS42" s="83"/>
      <c r="AT42" s="83"/>
      <c r="AU42" s="71" t="s">
        <v>601</v>
      </c>
      <c r="AV42" s="84" t="s">
        <v>101</v>
      </c>
      <c r="AW42" s="84" t="s">
        <v>101</v>
      </c>
    </row>
    <row r="43" spans="2:49" ht="26.4" x14ac:dyDescent="0.3">
      <c r="B43" s="69" t="str">
        <f>IF(Tabela1[[#This Row],[DATA]],PROPER(TEXT(Tabela1[[#This Row],[DATA]],"mmm")),"")</f>
        <v>Fev</v>
      </c>
      <c r="C43" s="81">
        <v>45693</v>
      </c>
      <c r="D43" s="81" t="str">
        <f t="shared" si="74"/>
        <v>Quarta</v>
      </c>
      <c r="E43" s="81"/>
      <c r="F43" s="67" t="str">
        <f t="shared" si="1"/>
        <v/>
      </c>
      <c r="G43" s="81" t="s">
        <v>337</v>
      </c>
      <c r="H43" s="4" t="s">
        <v>484</v>
      </c>
      <c r="I43" s="82" t="s">
        <v>84</v>
      </c>
      <c r="J43" s="82" t="s">
        <v>212</v>
      </c>
      <c r="K43" s="82"/>
      <c r="L43" s="138" t="s">
        <v>336</v>
      </c>
      <c r="M43" s="82" t="s">
        <v>182</v>
      </c>
      <c r="N43" s="4" t="s">
        <v>675</v>
      </c>
      <c r="O43" s="82" t="s">
        <v>303</v>
      </c>
      <c r="P43" s="82" t="s">
        <v>79</v>
      </c>
      <c r="Q43" s="82" t="s">
        <v>5</v>
      </c>
      <c r="R43" s="82" t="s">
        <v>251</v>
      </c>
      <c r="S43" s="82" t="s">
        <v>161</v>
      </c>
      <c r="T43" s="81">
        <f t="shared" si="75"/>
        <v>45693</v>
      </c>
      <c r="U43" s="81">
        <v>45693</v>
      </c>
      <c r="V43" s="82">
        <f t="shared" ca="1" si="76"/>
        <v>0</v>
      </c>
      <c r="W43" s="82" t="str">
        <f t="shared" ca="1" si="77"/>
        <v>NO PRAZO</v>
      </c>
      <c r="X43" s="81">
        <f t="shared" si="69"/>
        <v>45694</v>
      </c>
      <c r="Y43" s="81">
        <v>45694</v>
      </c>
      <c r="Z43" s="82">
        <f t="shared" ca="1" si="78"/>
        <v>0</v>
      </c>
      <c r="AA43" s="82" t="str">
        <f t="shared" ca="1" si="79"/>
        <v>NO PRAZO</v>
      </c>
      <c r="AB43" s="81">
        <f t="shared" si="70"/>
        <v>45694</v>
      </c>
      <c r="AC43" s="81">
        <v>45694</v>
      </c>
      <c r="AD43" s="82">
        <f t="shared" ca="1" si="80"/>
        <v>0</v>
      </c>
      <c r="AE43" s="82" t="str">
        <f t="shared" ca="1" si="81"/>
        <v>NO PRAZO</v>
      </c>
      <c r="AF43" s="81">
        <f t="shared" si="71"/>
        <v>45701</v>
      </c>
      <c r="AG43" s="81">
        <f t="shared" si="71"/>
        <v>45701</v>
      </c>
      <c r="AH43" s="82">
        <f t="shared" ca="1" si="82"/>
        <v>0</v>
      </c>
      <c r="AI43" s="82" t="str">
        <f t="shared" ca="1" si="83"/>
        <v>NO PRAZO</v>
      </c>
      <c r="AJ43" s="81">
        <f t="shared" si="72"/>
        <v>45702</v>
      </c>
      <c r="AK43" s="81">
        <f t="shared" si="72"/>
        <v>45702</v>
      </c>
      <c r="AL43" s="82">
        <f t="shared" ca="1" si="84"/>
        <v>0</v>
      </c>
      <c r="AM43" s="82" t="str">
        <f t="shared" ca="1" si="85"/>
        <v>NO PRAZO</v>
      </c>
      <c r="AN43" s="81">
        <f t="shared" si="73"/>
        <v>45703</v>
      </c>
      <c r="AO43" s="81">
        <f t="shared" si="73"/>
        <v>45703</v>
      </c>
      <c r="AP43" s="82">
        <f t="shared" ca="1" si="86"/>
        <v>0</v>
      </c>
      <c r="AQ43" s="82" t="str">
        <f t="shared" ca="1" si="87"/>
        <v>NO PRAZO</v>
      </c>
      <c r="AR43" s="81"/>
      <c r="AS43" s="81"/>
      <c r="AT43" s="81"/>
      <c r="AU43" s="72" t="str">
        <f>IF(Tabela1[[#This Row],[Nº DA CAT]]="NA","INCIDENTE","ACIDENTE")</f>
        <v>INCIDENTE</v>
      </c>
      <c r="AV43" s="82" t="s">
        <v>101</v>
      </c>
      <c r="AW43" s="82"/>
    </row>
    <row r="44" spans="2:49" ht="39.6" x14ac:dyDescent="0.3">
      <c r="B44" s="69" t="str">
        <f>IF(Tabela1[[#This Row],[DATA]],PROPER(TEXT(Tabela1[[#This Row],[DATA]],"mmm")),"")</f>
        <v>Fev</v>
      </c>
      <c r="C44" s="81">
        <v>45701</v>
      </c>
      <c r="D44" s="81" t="str">
        <f t="shared" si="74"/>
        <v>Quinta</v>
      </c>
      <c r="E44" s="81"/>
      <c r="F44" s="67" t="str">
        <f t="shared" si="1"/>
        <v/>
      </c>
      <c r="G44" s="81" t="s">
        <v>338</v>
      </c>
      <c r="H44" s="4" t="s">
        <v>481</v>
      </c>
      <c r="I44" s="82" t="s">
        <v>84</v>
      </c>
      <c r="J44" s="82" t="s">
        <v>212</v>
      </c>
      <c r="K44" s="82"/>
      <c r="L44" s="138" t="s">
        <v>339</v>
      </c>
      <c r="M44" s="82" t="s">
        <v>155</v>
      </c>
      <c r="N44" s="4" t="s">
        <v>675</v>
      </c>
      <c r="O44" s="82" t="s">
        <v>113</v>
      </c>
      <c r="P44" s="82" t="s">
        <v>93</v>
      </c>
      <c r="Q44" s="82" t="s">
        <v>5</v>
      </c>
      <c r="R44" s="82" t="s">
        <v>251</v>
      </c>
      <c r="S44" s="82" t="s">
        <v>161</v>
      </c>
      <c r="T44" s="81">
        <f t="shared" si="75"/>
        <v>45701</v>
      </c>
      <c r="U44" s="81">
        <v>45701</v>
      </c>
      <c r="V44" s="82">
        <f t="shared" ca="1" si="76"/>
        <v>0</v>
      </c>
      <c r="W44" s="82" t="str">
        <f t="shared" ca="1" si="77"/>
        <v>NO PRAZO</v>
      </c>
      <c r="X44" s="81">
        <f t="shared" si="69"/>
        <v>45702</v>
      </c>
      <c r="Y44" s="81">
        <v>45702</v>
      </c>
      <c r="Z44" s="82">
        <f t="shared" ca="1" si="78"/>
        <v>0</v>
      </c>
      <c r="AA44" s="82" t="str">
        <f t="shared" ca="1" si="79"/>
        <v>NO PRAZO</v>
      </c>
      <c r="AB44" s="81">
        <f t="shared" si="70"/>
        <v>45702</v>
      </c>
      <c r="AC44" s="81">
        <v>45702</v>
      </c>
      <c r="AD44" s="82">
        <f t="shared" ca="1" si="80"/>
        <v>0</v>
      </c>
      <c r="AE44" s="82" t="str">
        <f t="shared" ca="1" si="81"/>
        <v>NO PRAZO</v>
      </c>
      <c r="AF44" s="81">
        <f t="shared" si="71"/>
        <v>45709</v>
      </c>
      <c r="AG44" s="81">
        <f t="shared" si="71"/>
        <v>45709</v>
      </c>
      <c r="AH44" s="82">
        <f t="shared" ca="1" si="82"/>
        <v>0</v>
      </c>
      <c r="AI44" s="82" t="str">
        <f t="shared" ca="1" si="83"/>
        <v>NO PRAZO</v>
      </c>
      <c r="AJ44" s="81">
        <f t="shared" si="72"/>
        <v>45710</v>
      </c>
      <c r="AK44" s="81">
        <f t="shared" si="72"/>
        <v>45710</v>
      </c>
      <c r="AL44" s="82">
        <f t="shared" ca="1" si="84"/>
        <v>0</v>
      </c>
      <c r="AM44" s="82" t="str">
        <f t="shared" ca="1" si="85"/>
        <v>NO PRAZO</v>
      </c>
      <c r="AN44" s="81">
        <f t="shared" si="73"/>
        <v>45711</v>
      </c>
      <c r="AO44" s="81">
        <f t="shared" si="73"/>
        <v>45711</v>
      </c>
      <c r="AP44" s="82">
        <f t="shared" ca="1" si="86"/>
        <v>0</v>
      </c>
      <c r="AQ44" s="82" t="str">
        <f t="shared" ca="1" si="87"/>
        <v>NO PRAZO</v>
      </c>
      <c r="AR44" s="81"/>
      <c r="AS44" s="81"/>
      <c r="AT44" s="81"/>
      <c r="AU44" s="72" t="str">
        <f>IF(Tabela1[[#This Row],[Nº DA CAT]]="NA","INCIDENTE","ACIDENTE")</f>
        <v>INCIDENTE</v>
      </c>
      <c r="AV44" s="82" t="s">
        <v>101</v>
      </c>
      <c r="AW44" s="82"/>
    </row>
    <row r="45" spans="2:49" ht="39.6" x14ac:dyDescent="0.3">
      <c r="B45" s="69" t="str">
        <f>IF(Tabela1[[#This Row],[DATA]],PROPER(TEXT(Tabela1[[#This Row],[DATA]],"mmm")),"")</f>
        <v>Abr</v>
      </c>
      <c r="C45" s="81">
        <v>45749</v>
      </c>
      <c r="D45" s="81" t="str">
        <f t="shared" si="74"/>
        <v>Quarta</v>
      </c>
      <c r="E45" s="81"/>
      <c r="F45" s="67" t="str">
        <f t="shared" si="1"/>
        <v/>
      </c>
      <c r="G45" s="81" t="s">
        <v>340</v>
      </c>
      <c r="H45" s="4" t="s">
        <v>494</v>
      </c>
      <c r="I45" s="82" t="s">
        <v>84</v>
      </c>
      <c r="J45" s="79" t="s">
        <v>300</v>
      </c>
      <c r="K45" s="79"/>
      <c r="L45" s="138" t="s">
        <v>341</v>
      </c>
      <c r="M45" s="82" t="s">
        <v>304</v>
      </c>
      <c r="N45" s="4" t="s">
        <v>676</v>
      </c>
      <c r="O45" s="82" t="s">
        <v>92</v>
      </c>
      <c r="P45" s="82" t="s">
        <v>93</v>
      </c>
      <c r="Q45" s="82" t="s">
        <v>5</v>
      </c>
      <c r="R45" s="82" t="s">
        <v>251</v>
      </c>
      <c r="S45" s="82" t="s">
        <v>161</v>
      </c>
      <c r="T45" s="81">
        <f t="shared" si="75"/>
        <v>45749</v>
      </c>
      <c r="U45" s="81">
        <f>IF($C45="","",$C45)</f>
        <v>45749</v>
      </c>
      <c r="V45" s="82">
        <f t="shared" ca="1" si="76"/>
        <v>0</v>
      </c>
      <c r="W45" s="82" t="str">
        <f t="shared" ca="1" si="77"/>
        <v>NO PRAZO</v>
      </c>
      <c r="X45" s="81">
        <f>IF($C45="","",$C45+1)</f>
        <v>45750</v>
      </c>
      <c r="Y45" s="81">
        <f>IF($C45="","",$C45+1)</f>
        <v>45750</v>
      </c>
      <c r="Z45" s="82">
        <f t="shared" ca="1" si="78"/>
        <v>0</v>
      </c>
      <c r="AA45" s="82" t="str">
        <f t="shared" ca="1" si="79"/>
        <v>NO PRAZO</v>
      </c>
      <c r="AB45" s="81">
        <f>IF($C45="","",$C45+1)</f>
        <v>45750</v>
      </c>
      <c r="AC45" s="81">
        <f>IF($C45="","",$C45+1)</f>
        <v>45750</v>
      </c>
      <c r="AD45" s="82">
        <f t="shared" ca="1" si="80"/>
        <v>0</v>
      </c>
      <c r="AE45" s="82" t="str">
        <f t="shared" ca="1" si="81"/>
        <v>NO PRAZO</v>
      </c>
      <c r="AF45" s="81">
        <f>IF($C45="","",$C45+8)</f>
        <v>45757</v>
      </c>
      <c r="AG45" s="81">
        <f>IF($C45="","",$C45+8)</f>
        <v>45757</v>
      </c>
      <c r="AH45" s="82">
        <f t="shared" ca="1" si="82"/>
        <v>0</v>
      </c>
      <c r="AI45" s="82" t="str">
        <f t="shared" ca="1" si="83"/>
        <v>NO PRAZO</v>
      </c>
      <c r="AJ45" s="81">
        <f>IF($C45="","",$C45+9)</f>
        <v>45758</v>
      </c>
      <c r="AK45" s="81">
        <f>IF($C45="","",$C45+9)</f>
        <v>45758</v>
      </c>
      <c r="AL45" s="82">
        <f t="shared" ca="1" si="84"/>
        <v>0</v>
      </c>
      <c r="AM45" s="82" t="str">
        <f t="shared" ca="1" si="85"/>
        <v>NO PRAZO</v>
      </c>
      <c r="AN45" s="81">
        <f>IF($C45="","",$C45+10)</f>
        <v>45759</v>
      </c>
      <c r="AO45" s="81">
        <f>IF($C45="","",$C45+10)</f>
        <v>45759</v>
      </c>
      <c r="AP45" s="82">
        <f t="shared" ca="1" si="86"/>
        <v>0</v>
      </c>
      <c r="AQ45" s="82" t="str">
        <f t="shared" ca="1" si="87"/>
        <v>NO PRAZO</v>
      </c>
      <c r="AR45" s="81"/>
      <c r="AS45" s="81"/>
      <c r="AT45" s="81"/>
      <c r="AU45" s="71" t="s">
        <v>601</v>
      </c>
      <c r="AV45" s="82" t="s">
        <v>101</v>
      </c>
      <c r="AW45" s="82" t="s">
        <v>101</v>
      </c>
    </row>
    <row r="46" spans="2:49" ht="26.4" x14ac:dyDescent="0.3">
      <c r="B46" s="69" t="str">
        <f>IF(Tabela1[[#This Row],[DATA]],PROPER(TEXT(Tabela1[[#This Row],[DATA]],"mmm")),"")</f>
        <v>Abr</v>
      </c>
      <c r="C46" s="83">
        <v>45754</v>
      </c>
      <c r="D46" s="83" t="str">
        <f t="shared" si="74"/>
        <v>Segunda</v>
      </c>
      <c r="E46" s="83"/>
      <c r="F46" s="67" t="str">
        <f t="shared" si="1"/>
        <v/>
      </c>
      <c r="G46" s="83" t="s">
        <v>342</v>
      </c>
      <c r="H46" s="4" t="s">
        <v>343</v>
      </c>
      <c r="I46" s="84" t="s">
        <v>344</v>
      </c>
      <c r="J46" s="79" t="s">
        <v>300</v>
      </c>
      <c r="K46" s="79"/>
      <c r="L46" s="139" t="s">
        <v>345</v>
      </c>
      <c r="M46" s="84" t="s">
        <v>317</v>
      </c>
      <c r="N46" s="4" t="s">
        <v>675</v>
      </c>
      <c r="O46" s="84" t="s">
        <v>25</v>
      </c>
      <c r="P46" s="84" t="s">
        <v>26</v>
      </c>
      <c r="Q46" s="84" t="s">
        <v>5</v>
      </c>
      <c r="R46" s="84" t="s">
        <v>251</v>
      </c>
      <c r="S46" s="84" t="s">
        <v>161</v>
      </c>
      <c r="T46" s="83">
        <f t="shared" si="75"/>
        <v>45754</v>
      </c>
      <c r="U46" s="83">
        <f>IF($C46="","",$C46)</f>
        <v>45754</v>
      </c>
      <c r="V46" s="84">
        <f t="shared" ca="1" si="76"/>
        <v>0</v>
      </c>
      <c r="W46" s="84" t="str">
        <f t="shared" ca="1" si="77"/>
        <v>NO PRAZO</v>
      </c>
      <c r="X46" s="83">
        <f>IF($C46="","",$C46+1)</f>
        <v>45755</v>
      </c>
      <c r="Y46" s="83">
        <f>IF($C46="","",$C46+1)</f>
        <v>45755</v>
      </c>
      <c r="Z46" s="84">
        <f t="shared" ca="1" si="78"/>
        <v>0</v>
      </c>
      <c r="AA46" s="84" t="str">
        <f t="shared" ca="1" si="79"/>
        <v>NO PRAZO</v>
      </c>
      <c r="AB46" s="83">
        <f>IF($C46="","",$C46+1)</f>
        <v>45755</v>
      </c>
      <c r="AC46" s="83">
        <f>IF($C46="","",$C46+1)</f>
        <v>45755</v>
      </c>
      <c r="AD46" s="84">
        <f t="shared" ca="1" si="80"/>
        <v>0</v>
      </c>
      <c r="AE46" s="84" t="str">
        <f t="shared" ca="1" si="81"/>
        <v>NO PRAZO</v>
      </c>
      <c r="AF46" s="83">
        <f t="shared" ref="AF46:AG51" si="88">IF($C46="","",$C46+8)</f>
        <v>45762</v>
      </c>
      <c r="AG46" s="83">
        <f t="shared" si="88"/>
        <v>45762</v>
      </c>
      <c r="AH46" s="84">
        <f t="shared" ca="1" si="82"/>
        <v>0</v>
      </c>
      <c r="AI46" s="84" t="str">
        <f t="shared" ca="1" si="83"/>
        <v>NO PRAZO</v>
      </c>
      <c r="AJ46" s="83">
        <f t="shared" ref="AJ46:AK51" si="89">IF($C46="","",$C46+9)</f>
        <v>45763</v>
      </c>
      <c r="AK46" s="83">
        <f t="shared" si="89"/>
        <v>45763</v>
      </c>
      <c r="AL46" s="84">
        <f t="shared" ca="1" si="84"/>
        <v>0</v>
      </c>
      <c r="AM46" s="84" t="str">
        <f t="shared" ca="1" si="85"/>
        <v>NO PRAZO</v>
      </c>
      <c r="AN46" s="83">
        <f t="shared" ref="AN46:AO51" si="90">IF($C46="","",$C46+10)</f>
        <v>45764</v>
      </c>
      <c r="AO46" s="83">
        <f t="shared" si="90"/>
        <v>45764</v>
      </c>
      <c r="AP46" s="84">
        <f t="shared" ca="1" si="86"/>
        <v>0</v>
      </c>
      <c r="AQ46" s="84" t="str">
        <f t="shared" ca="1" si="87"/>
        <v>NO PRAZO</v>
      </c>
      <c r="AR46" s="83"/>
      <c r="AS46" s="83"/>
      <c r="AT46" s="83"/>
      <c r="AU46" s="71" t="s">
        <v>601</v>
      </c>
      <c r="AV46" s="84" t="s">
        <v>101</v>
      </c>
      <c r="AW46" s="84" t="s">
        <v>101</v>
      </c>
    </row>
    <row r="47" spans="2:49" ht="39.6" x14ac:dyDescent="0.3">
      <c r="B47" s="69" t="str">
        <f>IF(Tabela1[[#This Row],[DATA]],PROPER(TEXT(Tabela1[[#This Row],[DATA]],"mmm")),"")</f>
        <v>Abr</v>
      </c>
      <c r="C47" s="83">
        <v>45762</v>
      </c>
      <c r="D47" s="83" t="str">
        <f t="shared" si="74"/>
        <v>Terça</v>
      </c>
      <c r="E47" s="83"/>
      <c r="F47" s="67" t="str">
        <f t="shared" si="1"/>
        <v/>
      </c>
      <c r="G47" s="80" t="s">
        <v>363</v>
      </c>
      <c r="H47" s="4" t="s">
        <v>346</v>
      </c>
      <c r="I47" s="84" t="s">
        <v>24</v>
      </c>
      <c r="J47" s="79" t="s">
        <v>300</v>
      </c>
      <c r="K47" s="79"/>
      <c r="L47" s="139" t="s">
        <v>347</v>
      </c>
      <c r="M47" s="84" t="s">
        <v>335</v>
      </c>
      <c r="N47" s="4" t="s">
        <v>676</v>
      </c>
      <c r="O47" s="84" t="s">
        <v>96</v>
      </c>
      <c r="P47" s="84" t="s">
        <v>97</v>
      </c>
      <c r="Q47" s="84" t="s">
        <v>5</v>
      </c>
      <c r="R47" s="84" t="s">
        <v>251</v>
      </c>
      <c r="S47" s="84" t="s">
        <v>161</v>
      </c>
      <c r="T47" s="83">
        <f t="shared" si="75"/>
        <v>45762</v>
      </c>
      <c r="U47" s="83">
        <v>45762</v>
      </c>
      <c r="V47" s="84">
        <f t="shared" ca="1" si="76"/>
        <v>0</v>
      </c>
      <c r="W47" s="84" t="str">
        <f t="shared" ca="1" si="77"/>
        <v>NO PRAZO</v>
      </c>
      <c r="X47" s="83">
        <f t="shared" ref="X47:Y53" si="91">IF($C47="","",$C47+1)</f>
        <v>45763</v>
      </c>
      <c r="Y47" s="83">
        <v>45763</v>
      </c>
      <c r="Z47" s="84">
        <f t="shared" ca="1" si="78"/>
        <v>0</v>
      </c>
      <c r="AA47" s="84" t="str">
        <f t="shared" ca="1" si="79"/>
        <v>NO PRAZO</v>
      </c>
      <c r="AB47" s="83">
        <f t="shared" ref="AB47:AC53" si="92">IF($C47="","",$C47+1)</f>
        <v>45763</v>
      </c>
      <c r="AC47" s="83">
        <v>45763</v>
      </c>
      <c r="AD47" s="84">
        <f t="shared" ca="1" si="80"/>
        <v>0</v>
      </c>
      <c r="AE47" s="84" t="str">
        <f t="shared" ca="1" si="81"/>
        <v>NO PRAZO</v>
      </c>
      <c r="AF47" s="83">
        <f t="shared" si="88"/>
        <v>45770</v>
      </c>
      <c r="AG47" s="83">
        <v>45770</v>
      </c>
      <c r="AH47" s="84">
        <f t="shared" ca="1" si="82"/>
        <v>0</v>
      </c>
      <c r="AI47" s="84" t="str">
        <f t="shared" ca="1" si="83"/>
        <v>NO PRAZO</v>
      </c>
      <c r="AJ47" s="83">
        <f t="shared" si="89"/>
        <v>45771</v>
      </c>
      <c r="AK47" s="83">
        <v>45771</v>
      </c>
      <c r="AL47" s="84">
        <f t="shared" ca="1" si="84"/>
        <v>0</v>
      </c>
      <c r="AM47" s="84" t="str">
        <f t="shared" ca="1" si="85"/>
        <v>NO PRAZO</v>
      </c>
      <c r="AN47" s="83">
        <f t="shared" si="90"/>
        <v>45772</v>
      </c>
      <c r="AO47" s="83">
        <v>45772</v>
      </c>
      <c r="AP47" s="84">
        <f t="shared" ca="1" si="86"/>
        <v>0</v>
      </c>
      <c r="AQ47" s="84" t="str">
        <f t="shared" ca="1" si="87"/>
        <v>NO PRAZO</v>
      </c>
      <c r="AR47" s="83"/>
      <c r="AS47" s="83"/>
      <c r="AT47" s="83"/>
      <c r="AU47" s="71" t="s">
        <v>601</v>
      </c>
      <c r="AV47" s="84" t="s">
        <v>101</v>
      </c>
      <c r="AW47" s="84"/>
    </row>
    <row r="48" spans="2:49" ht="26.4" x14ac:dyDescent="0.3">
      <c r="B48" s="69" t="str">
        <f>IF(Tabela1[[#This Row],[DATA]],PROPER(TEXT(Tabela1[[#This Row],[DATA]],"mmm")),"")</f>
        <v>Mai</v>
      </c>
      <c r="C48" s="80">
        <v>45784</v>
      </c>
      <c r="D48" s="80" t="str">
        <f t="shared" si="74"/>
        <v>Quarta</v>
      </c>
      <c r="E48" s="80"/>
      <c r="F48" s="67" t="str">
        <f t="shared" si="1"/>
        <v/>
      </c>
      <c r="G48" s="80" t="s">
        <v>349</v>
      </c>
      <c r="H48" s="4" t="s">
        <v>495</v>
      </c>
      <c r="I48" s="41" t="s">
        <v>84</v>
      </c>
      <c r="J48" s="41" t="s">
        <v>261</v>
      </c>
      <c r="K48" s="41"/>
      <c r="L48" s="137" t="s">
        <v>348</v>
      </c>
      <c r="M48" s="41" t="s">
        <v>182</v>
      </c>
      <c r="N48" s="4" t="s">
        <v>675</v>
      </c>
      <c r="O48" s="41" t="s">
        <v>25</v>
      </c>
      <c r="P48" s="41" t="s">
        <v>26</v>
      </c>
      <c r="Q48" s="41" t="s">
        <v>5</v>
      </c>
      <c r="R48" s="41" t="s">
        <v>29</v>
      </c>
      <c r="S48" s="41" t="s">
        <v>354</v>
      </c>
      <c r="T48" s="80">
        <f t="shared" ref="T48:T53" si="93">IF($C48="","",$C48)</f>
        <v>45784</v>
      </c>
      <c r="U48" s="80">
        <v>45784</v>
      </c>
      <c r="V48" s="41">
        <f t="shared" ref="V48:V53" ca="1" si="94">IF($C48="","",IF(U48="",TODAY()-T48,U48-T48))</f>
        <v>0</v>
      </c>
      <c r="W48" s="41" t="str">
        <f t="shared" ref="W48:W53" ca="1" si="95">IF($C48="","",IF(AND($C48&lt;&gt;"",U48=""),IF(T48=TODAY(),"VENCE HOJE",IF(T48&lt;TODAY(),"ATRASADO","NO PRAZO")),IF(U48&lt;=T48,"NO PRAZO","ATRASADO")))</f>
        <v>NO PRAZO</v>
      </c>
      <c r="X48" s="80">
        <f t="shared" si="91"/>
        <v>45785</v>
      </c>
      <c r="Y48" s="80">
        <f>IF($C48="","",$C48+1)</f>
        <v>45785</v>
      </c>
      <c r="Z48" s="41">
        <f t="shared" ref="Z48:Z53" ca="1" si="96">IF($C48="","",IF(Y48="",TODAY()-X48,Y48-X48))</f>
        <v>0</v>
      </c>
      <c r="AA48" s="41" t="str">
        <f t="shared" ref="AA48:AA53" ca="1" si="97">IF($C48="","",IF(AND($C48&lt;&gt;"",Y48=""),IF(X48=TODAY(),"VENCE HOJE",IF(X48&lt;TODAY(),"ATRASADO","NO PRAZO")),IF(Y48&lt;=X48,"NO PRAZO","ATRASADO")))</f>
        <v>NO PRAZO</v>
      </c>
      <c r="AB48" s="80">
        <f t="shared" si="92"/>
        <v>45785</v>
      </c>
      <c r="AC48" s="80">
        <f>IF($C48="","",$C48+1)</f>
        <v>45785</v>
      </c>
      <c r="AD48" s="41">
        <f t="shared" ref="AD48:AD53" ca="1" si="98">IF($C48="","",IF(AC48="",TODAY()-AB48,AC48-AB48))</f>
        <v>0</v>
      </c>
      <c r="AE48" s="41" t="str">
        <f t="shared" ref="AE48:AE53" ca="1" si="99">IF($C48="","",IF(AND($C48&lt;&gt;"",AC48=""),IF(AB48=TODAY(),"VENCE HOJE",IF(AB48&lt;TODAY(),"ATRASADO","NO PRAZO")),IF(AC48&lt;=AB48,"NO PRAZO","ATRASADO")))</f>
        <v>NO PRAZO</v>
      </c>
      <c r="AF48" s="80">
        <f t="shared" si="88"/>
        <v>45792</v>
      </c>
      <c r="AG48" s="80">
        <f t="shared" si="88"/>
        <v>45792</v>
      </c>
      <c r="AH48" s="41">
        <f t="shared" ref="AH48:AH53" ca="1" si="100">IF($C48="","",IF(AG48="",TODAY()-AF48,AG48-AF48))</f>
        <v>0</v>
      </c>
      <c r="AI48" s="41" t="str">
        <f t="shared" ref="AI48:AI53" ca="1" si="101">IF($C48="","",IF(AND($C48&lt;&gt;"",AG48=""),IF(AF48=TODAY(),"VENCE HOJE",IF(AF48&lt;TODAY(),"ATRASADO","NO PRAZO")),IF(AG48&lt;=AF48,"NO PRAZO","ATRASADO")))</f>
        <v>NO PRAZO</v>
      </c>
      <c r="AJ48" s="80">
        <f t="shared" si="89"/>
        <v>45793</v>
      </c>
      <c r="AK48" s="80">
        <f t="shared" si="89"/>
        <v>45793</v>
      </c>
      <c r="AL48" s="41">
        <f t="shared" ref="AL48:AL53" ca="1" si="102">IF($C48="","",IF(AK48="",TODAY()-AJ48,AK48-AJ48))</f>
        <v>0</v>
      </c>
      <c r="AM48" s="41" t="str">
        <f t="shared" ref="AM48:AM53" ca="1" si="103">IF($C48="","",IF(AND($C48&lt;&gt;"",AK48=""),IF(AJ48=TODAY(),"VENCE HOJE",IF(AJ48&lt;TODAY(),"ATRASADO","NO PRAZO")),IF(AK48&lt;=AJ48,"NO PRAZO","ATRASADO")))</f>
        <v>NO PRAZO</v>
      </c>
      <c r="AN48" s="80">
        <f t="shared" si="90"/>
        <v>45794</v>
      </c>
      <c r="AO48" s="80">
        <f t="shared" si="90"/>
        <v>45794</v>
      </c>
      <c r="AP48" s="41">
        <f t="shared" ref="AP48:AP53" ca="1" si="104">IF($C48="","",IF(AO48="",TODAY()-AN48,AO48-AN48))</f>
        <v>0</v>
      </c>
      <c r="AQ48" s="41" t="str">
        <f t="shared" ref="AQ48:AQ53" ca="1" si="105">IF($C48="","",IF(AND($C48&lt;&gt;"",AO48=""),IF(AN48=TODAY(),"VENCE HOJE",IF(AN48&lt;TODAY(),"ATRASADO","NO PRAZO")),IF(AO48&lt;=AN48,"NO PRAZO","ATRASADO")))</f>
        <v>NO PRAZO</v>
      </c>
      <c r="AR48" s="80"/>
      <c r="AS48" s="80"/>
      <c r="AT48" s="80"/>
      <c r="AU48" s="85" t="s">
        <v>257</v>
      </c>
      <c r="AV48" s="41" t="s">
        <v>101</v>
      </c>
      <c r="AW48" s="41"/>
    </row>
    <row r="49" spans="2:49" ht="26.4" x14ac:dyDescent="0.3">
      <c r="B49" s="69" t="str">
        <f>IF(Tabela1[[#This Row],[DATA]],PROPER(TEXT(Tabela1[[#This Row],[DATA]],"mmm")),"")</f>
        <v>Mai</v>
      </c>
      <c r="C49" s="86">
        <v>45786</v>
      </c>
      <c r="D49" s="86" t="str">
        <f t="shared" si="74"/>
        <v>Sexta</v>
      </c>
      <c r="E49" s="86"/>
      <c r="F49" s="67" t="str">
        <f t="shared" si="1"/>
        <v/>
      </c>
      <c r="G49" s="86" t="s">
        <v>350</v>
      </c>
      <c r="H49" s="4" t="s">
        <v>504</v>
      </c>
      <c r="I49" s="87" t="s">
        <v>115</v>
      </c>
      <c r="J49" s="87" t="s">
        <v>267</v>
      </c>
      <c r="K49" s="87"/>
      <c r="L49" s="140" t="s">
        <v>351</v>
      </c>
      <c r="M49" s="87" t="s">
        <v>287</v>
      </c>
      <c r="N49" s="4" t="s">
        <v>676</v>
      </c>
      <c r="O49" s="87" t="s">
        <v>139</v>
      </c>
      <c r="P49" s="87" t="s">
        <v>97</v>
      </c>
      <c r="Q49" s="87" t="s">
        <v>5</v>
      </c>
      <c r="R49" s="87" t="s">
        <v>251</v>
      </c>
      <c r="S49" s="87" t="s">
        <v>161</v>
      </c>
      <c r="T49" s="86">
        <f t="shared" si="93"/>
        <v>45786</v>
      </c>
      <c r="U49" s="86">
        <v>45786</v>
      </c>
      <c r="V49" s="87">
        <f t="shared" ca="1" si="94"/>
        <v>0</v>
      </c>
      <c r="W49" s="87" t="str">
        <f t="shared" ca="1" si="95"/>
        <v>NO PRAZO</v>
      </c>
      <c r="X49" s="86">
        <f t="shared" si="91"/>
        <v>45787</v>
      </c>
      <c r="Y49" s="86">
        <v>45787</v>
      </c>
      <c r="Z49" s="87">
        <f t="shared" ca="1" si="96"/>
        <v>0</v>
      </c>
      <c r="AA49" s="87" t="str">
        <f t="shared" ca="1" si="97"/>
        <v>NO PRAZO</v>
      </c>
      <c r="AB49" s="86">
        <f t="shared" si="92"/>
        <v>45787</v>
      </c>
      <c r="AC49" s="86">
        <v>45787</v>
      </c>
      <c r="AD49" s="87">
        <f t="shared" ca="1" si="98"/>
        <v>0</v>
      </c>
      <c r="AE49" s="87" t="str">
        <f t="shared" ca="1" si="99"/>
        <v>NO PRAZO</v>
      </c>
      <c r="AF49" s="86">
        <f t="shared" si="88"/>
        <v>45794</v>
      </c>
      <c r="AG49" s="86">
        <v>45794</v>
      </c>
      <c r="AH49" s="87">
        <f t="shared" ca="1" si="100"/>
        <v>0</v>
      </c>
      <c r="AI49" s="87" t="str">
        <f t="shared" ca="1" si="101"/>
        <v>NO PRAZO</v>
      </c>
      <c r="AJ49" s="86">
        <f t="shared" si="89"/>
        <v>45795</v>
      </c>
      <c r="AK49" s="86">
        <f t="shared" si="89"/>
        <v>45795</v>
      </c>
      <c r="AL49" s="87">
        <f t="shared" ca="1" si="102"/>
        <v>0</v>
      </c>
      <c r="AM49" s="87" t="str">
        <f t="shared" ca="1" si="103"/>
        <v>NO PRAZO</v>
      </c>
      <c r="AN49" s="86">
        <f t="shared" si="90"/>
        <v>45796</v>
      </c>
      <c r="AO49" s="86">
        <f t="shared" si="90"/>
        <v>45796</v>
      </c>
      <c r="AP49" s="87">
        <f t="shared" ca="1" si="104"/>
        <v>0</v>
      </c>
      <c r="AQ49" s="87" t="str">
        <f t="shared" ca="1" si="105"/>
        <v>NO PRAZO</v>
      </c>
      <c r="AR49" s="86"/>
      <c r="AS49" s="86"/>
      <c r="AT49" s="86"/>
      <c r="AU49" s="71" t="s">
        <v>601</v>
      </c>
      <c r="AV49" s="87" t="s">
        <v>101</v>
      </c>
      <c r="AW49" s="87" t="s">
        <v>87</v>
      </c>
    </row>
    <row r="50" spans="2:49" ht="52.8" x14ac:dyDescent="0.3">
      <c r="B50" s="69" t="str">
        <f>IF(Tabela1[[#This Row],[DATA]],PROPER(TEXT(Tabela1[[#This Row],[DATA]],"mmm")),"")</f>
        <v>Mai</v>
      </c>
      <c r="C50" s="86">
        <v>45789</v>
      </c>
      <c r="D50" s="86" t="str">
        <f t="shared" si="74"/>
        <v>Segunda</v>
      </c>
      <c r="E50" s="86"/>
      <c r="F50" s="67" t="str">
        <f t="shared" si="1"/>
        <v/>
      </c>
      <c r="G50" s="86" t="s">
        <v>352</v>
      </c>
      <c r="H50" s="4" t="s">
        <v>549</v>
      </c>
      <c r="I50" s="87" t="s">
        <v>84</v>
      </c>
      <c r="J50" s="87" t="s">
        <v>263</v>
      </c>
      <c r="K50" s="87"/>
      <c r="L50" s="140" t="s">
        <v>353</v>
      </c>
      <c r="M50" s="87" t="s">
        <v>202</v>
      </c>
      <c r="N50" s="4" t="s">
        <v>675</v>
      </c>
      <c r="O50" s="87" t="s">
        <v>242</v>
      </c>
      <c r="P50" s="87" t="s">
        <v>79</v>
      </c>
      <c r="Q50" s="87" t="s">
        <v>5</v>
      </c>
      <c r="R50" s="87" t="s">
        <v>29</v>
      </c>
      <c r="S50" s="89" t="s">
        <v>161</v>
      </c>
      <c r="T50" s="86">
        <f t="shared" si="93"/>
        <v>45789</v>
      </c>
      <c r="U50" s="86">
        <v>45789</v>
      </c>
      <c r="V50" s="87">
        <f t="shared" ca="1" si="94"/>
        <v>0</v>
      </c>
      <c r="W50" s="87" t="str">
        <f t="shared" ca="1" si="95"/>
        <v>NO PRAZO</v>
      </c>
      <c r="X50" s="86">
        <f t="shared" si="91"/>
        <v>45790</v>
      </c>
      <c r="Y50" s="86">
        <v>45790</v>
      </c>
      <c r="Z50" s="87">
        <f t="shared" ca="1" si="96"/>
        <v>0</v>
      </c>
      <c r="AA50" s="87" t="str">
        <f t="shared" ca="1" si="97"/>
        <v>NO PRAZO</v>
      </c>
      <c r="AB50" s="86">
        <f t="shared" si="92"/>
        <v>45790</v>
      </c>
      <c r="AC50" s="86">
        <v>45790</v>
      </c>
      <c r="AD50" s="87">
        <f t="shared" ca="1" si="98"/>
        <v>0</v>
      </c>
      <c r="AE50" s="87" t="str">
        <f t="shared" ca="1" si="99"/>
        <v>NO PRAZO</v>
      </c>
      <c r="AF50" s="86">
        <f t="shared" si="88"/>
        <v>45797</v>
      </c>
      <c r="AG50" s="86">
        <v>45797</v>
      </c>
      <c r="AH50" s="87">
        <f t="shared" ca="1" si="100"/>
        <v>0</v>
      </c>
      <c r="AI50" s="87" t="str">
        <f t="shared" ca="1" si="101"/>
        <v>NO PRAZO</v>
      </c>
      <c r="AJ50" s="86">
        <f t="shared" si="89"/>
        <v>45798</v>
      </c>
      <c r="AK50" s="86">
        <v>45798</v>
      </c>
      <c r="AL50" s="87">
        <f t="shared" ca="1" si="102"/>
        <v>0</v>
      </c>
      <c r="AM50" s="87" t="str">
        <f t="shared" ca="1" si="103"/>
        <v>NO PRAZO</v>
      </c>
      <c r="AN50" s="86">
        <f t="shared" si="90"/>
        <v>45799</v>
      </c>
      <c r="AO50" s="86">
        <v>45799</v>
      </c>
      <c r="AP50" s="87">
        <f t="shared" ca="1" si="104"/>
        <v>0</v>
      </c>
      <c r="AQ50" s="87" t="str">
        <f t="shared" ca="1" si="105"/>
        <v>NO PRAZO</v>
      </c>
      <c r="AR50" s="86"/>
      <c r="AS50" s="86"/>
      <c r="AT50" s="86"/>
      <c r="AU50" s="85" t="s">
        <v>257</v>
      </c>
      <c r="AV50" s="87" t="s">
        <v>101</v>
      </c>
      <c r="AW50" s="87"/>
    </row>
    <row r="51" spans="2:49" ht="39.6" x14ac:dyDescent="0.3">
      <c r="B51" s="69" t="str">
        <f>IF(Tabela1[[#This Row],[DATA]],PROPER(TEXT(Tabela1[[#This Row],[DATA]],"mmm")),"")</f>
        <v>Mai</v>
      </c>
      <c r="C51" s="86">
        <v>45806</v>
      </c>
      <c r="D51" s="86" t="str">
        <f t="shared" si="74"/>
        <v>Quinta</v>
      </c>
      <c r="E51" s="86"/>
      <c r="F51" s="67" t="str">
        <f t="shared" si="1"/>
        <v/>
      </c>
      <c r="G51" s="86" t="s">
        <v>355</v>
      </c>
      <c r="H51" s="4" t="s">
        <v>462</v>
      </c>
      <c r="I51" s="87" t="s">
        <v>24</v>
      </c>
      <c r="J51" s="87" t="s">
        <v>300</v>
      </c>
      <c r="K51" s="87"/>
      <c r="L51" s="140" t="s">
        <v>356</v>
      </c>
      <c r="M51" s="87" t="s">
        <v>335</v>
      </c>
      <c r="N51" s="4" t="s">
        <v>676</v>
      </c>
      <c r="O51" s="87" t="s">
        <v>357</v>
      </c>
      <c r="P51" s="87" t="s">
        <v>97</v>
      </c>
      <c r="Q51" s="87" t="s">
        <v>5</v>
      </c>
      <c r="R51" s="87" t="s">
        <v>251</v>
      </c>
      <c r="S51" s="87" t="s">
        <v>161</v>
      </c>
      <c r="T51" s="86">
        <f t="shared" si="93"/>
        <v>45806</v>
      </c>
      <c r="U51" s="86">
        <f>IF($C51="","",$C51)</f>
        <v>45806</v>
      </c>
      <c r="V51" s="87">
        <f t="shared" ca="1" si="94"/>
        <v>0</v>
      </c>
      <c r="W51" s="87" t="str">
        <f t="shared" ca="1" si="95"/>
        <v>NO PRAZO</v>
      </c>
      <c r="X51" s="86">
        <f t="shared" si="91"/>
        <v>45807</v>
      </c>
      <c r="Y51" s="86">
        <f t="shared" si="91"/>
        <v>45807</v>
      </c>
      <c r="Z51" s="87">
        <f t="shared" ca="1" si="96"/>
        <v>0</v>
      </c>
      <c r="AA51" s="87" t="str">
        <f t="shared" ca="1" si="97"/>
        <v>NO PRAZO</v>
      </c>
      <c r="AB51" s="86">
        <f t="shared" si="92"/>
        <v>45807</v>
      </c>
      <c r="AC51" s="86">
        <f t="shared" si="92"/>
        <v>45807</v>
      </c>
      <c r="AD51" s="87">
        <f t="shared" ca="1" si="98"/>
        <v>0</v>
      </c>
      <c r="AE51" s="87" t="str">
        <f t="shared" ca="1" si="99"/>
        <v>NO PRAZO</v>
      </c>
      <c r="AF51" s="86">
        <f t="shared" si="88"/>
        <v>45814</v>
      </c>
      <c r="AG51" s="86">
        <v>45814</v>
      </c>
      <c r="AH51" s="87">
        <f t="shared" ca="1" si="100"/>
        <v>0</v>
      </c>
      <c r="AI51" s="87" t="str">
        <f t="shared" ca="1" si="101"/>
        <v>NO PRAZO</v>
      </c>
      <c r="AJ51" s="86">
        <f t="shared" si="89"/>
        <v>45815</v>
      </c>
      <c r="AK51" s="86">
        <f t="shared" si="89"/>
        <v>45815</v>
      </c>
      <c r="AL51" s="87">
        <f t="shared" ca="1" si="102"/>
        <v>0</v>
      </c>
      <c r="AM51" s="87" t="str">
        <f t="shared" ca="1" si="103"/>
        <v>NO PRAZO</v>
      </c>
      <c r="AN51" s="86">
        <f t="shared" si="90"/>
        <v>45816</v>
      </c>
      <c r="AO51" s="86">
        <f t="shared" si="90"/>
        <v>45816</v>
      </c>
      <c r="AP51" s="87">
        <f t="shared" ca="1" si="104"/>
        <v>0</v>
      </c>
      <c r="AQ51" s="87" t="str">
        <f t="shared" ca="1" si="105"/>
        <v>NO PRAZO</v>
      </c>
      <c r="AR51" s="86"/>
      <c r="AS51" s="86"/>
      <c r="AT51" s="86"/>
      <c r="AU51" s="71" t="s">
        <v>601</v>
      </c>
      <c r="AV51" s="87" t="s">
        <v>101</v>
      </c>
      <c r="AW51" s="87" t="s">
        <v>87</v>
      </c>
    </row>
    <row r="52" spans="2:49" ht="39.6" x14ac:dyDescent="0.3">
      <c r="B52" s="69" t="str">
        <f>IF(Tabela1[[#This Row],[DATA]],PROPER(TEXT(Tabela1[[#This Row],[DATA]],"mmm")),"")</f>
        <v>Mai</v>
      </c>
      <c r="C52" s="86">
        <v>45807</v>
      </c>
      <c r="D52" s="86" t="str">
        <f t="shared" si="74"/>
        <v>Sexta</v>
      </c>
      <c r="E52" s="86"/>
      <c r="F52" s="67" t="str">
        <f t="shared" si="1"/>
        <v/>
      </c>
      <c r="G52" s="86" t="s">
        <v>359</v>
      </c>
      <c r="H52" s="4" t="s">
        <v>490</v>
      </c>
      <c r="I52" s="87" t="s">
        <v>84</v>
      </c>
      <c r="J52" s="87" t="s">
        <v>261</v>
      </c>
      <c r="K52" s="87"/>
      <c r="L52" s="140" t="s">
        <v>360</v>
      </c>
      <c r="M52" s="87" t="s">
        <v>361</v>
      </c>
      <c r="N52" s="4" t="s">
        <v>676</v>
      </c>
      <c r="O52" s="87" t="s">
        <v>118</v>
      </c>
      <c r="P52" s="87" t="s">
        <v>309</v>
      </c>
      <c r="Q52" s="87" t="s">
        <v>5</v>
      </c>
      <c r="R52" s="87" t="s">
        <v>251</v>
      </c>
      <c r="S52" s="87" t="s">
        <v>161</v>
      </c>
      <c r="T52" s="86">
        <f t="shared" si="93"/>
        <v>45807</v>
      </c>
      <c r="U52" s="86">
        <f>IF($C52="","",$C52)</f>
        <v>45807</v>
      </c>
      <c r="V52" s="87">
        <f t="shared" ca="1" si="94"/>
        <v>0</v>
      </c>
      <c r="W52" s="87" t="str">
        <f t="shared" ca="1" si="95"/>
        <v>NO PRAZO</v>
      </c>
      <c r="X52" s="86">
        <f t="shared" si="91"/>
        <v>45808</v>
      </c>
      <c r="Y52" s="86">
        <f>IF($C52="","",$C52+1)</f>
        <v>45808</v>
      </c>
      <c r="Z52" s="87">
        <f t="shared" ca="1" si="96"/>
        <v>0</v>
      </c>
      <c r="AA52" s="87" t="str">
        <f t="shared" ca="1" si="97"/>
        <v>NO PRAZO</v>
      </c>
      <c r="AB52" s="86">
        <f t="shared" si="92"/>
        <v>45808</v>
      </c>
      <c r="AC52" s="86">
        <f>IF($C52="","",$C52+1)</f>
        <v>45808</v>
      </c>
      <c r="AD52" s="87">
        <f t="shared" ca="1" si="98"/>
        <v>0</v>
      </c>
      <c r="AE52" s="87" t="str">
        <f t="shared" ca="1" si="99"/>
        <v>NO PRAZO</v>
      </c>
      <c r="AF52" s="86">
        <f t="shared" ref="AF52:AG57" si="106">IF($C52="","",$C52+8)</f>
        <v>45815</v>
      </c>
      <c r="AG52" s="86">
        <f t="shared" si="106"/>
        <v>45815</v>
      </c>
      <c r="AH52" s="87">
        <f t="shared" ca="1" si="100"/>
        <v>0</v>
      </c>
      <c r="AI52" s="87" t="str">
        <f t="shared" ca="1" si="101"/>
        <v>NO PRAZO</v>
      </c>
      <c r="AJ52" s="86">
        <f t="shared" ref="AJ52:AK57" si="107">IF($C52="","",$C52+9)</f>
        <v>45816</v>
      </c>
      <c r="AK52" s="86">
        <f t="shared" si="107"/>
        <v>45816</v>
      </c>
      <c r="AL52" s="87">
        <f t="shared" ca="1" si="102"/>
        <v>0</v>
      </c>
      <c r="AM52" s="87" t="str">
        <f t="shared" ca="1" si="103"/>
        <v>NO PRAZO</v>
      </c>
      <c r="AN52" s="86">
        <f t="shared" ref="AN52:AO60" si="108">IF($C52="","",$C52+10)</f>
        <v>45817</v>
      </c>
      <c r="AO52" s="86">
        <f t="shared" si="108"/>
        <v>45817</v>
      </c>
      <c r="AP52" s="87">
        <f t="shared" ca="1" si="104"/>
        <v>0</v>
      </c>
      <c r="AQ52" s="87" t="str">
        <f t="shared" ca="1" si="105"/>
        <v>NO PRAZO</v>
      </c>
      <c r="AR52" s="86"/>
      <c r="AS52" s="86"/>
      <c r="AT52" s="86"/>
      <c r="AU52" s="85" t="s">
        <v>251</v>
      </c>
      <c r="AV52" s="87" t="s">
        <v>101</v>
      </c>
      <c r="AW52" s="87"/>
    </row>
    <row r="53" spans="2:49" ht="52.8" x14ac:dyDescent="0.3">
      <c r="B53" s="69" t="str">
        <f>IF(Tabela1[[#This Row],[DATA]],PROPER(TEXT(Tabela1[[#This Row],[DATA]],"mmm")),"")</f>
        <v>Mai</v>
      </c>
      <c r="C53" s="86">
        <v>45807</v>
      </c>
      <c r="D53" s="86" t="str">
        <f t="shared" si="74"/>
        <v>Sexta</v>
      </c>
      <c r="E53" s="86"/>
      <c r="F53" s="67" t="str">
        <f t="shared" si="1"/>
        <v/>
      </c>
      <c r="G53" s="86" t="s">
        <v>358</v>
      </c>
      <c r="H53" s="4" t="s">
        <v>490</v>
      </c>
      <c r="I53" s="87" t="s">
        <v>84</v>
      </c>
      <c r="J53" s="41" t="s">
        <v>300</v>
      </c>
      <c r="K53" s="41"/>
      <c r="L53" s="140" t="s">
        <v>362</v>
      </c>
      <c r="M53" s="87" t="s">
        <v>361</v>
      </c>
      <c r="N53" s="4" t="s">
        <v>675</v>
      </c>
      <c r="O53" s="87" t="s">
        <v>118</v>
      </c>
      <c r="P53" s="87" t="s">
        <v>309</v>
      </c>
      <c r="Q53" s="87" t="s">
        <v>5</v>
      </c>
      <c r="R53" s="87" t="s">
        <v>251</v>
      </c>
      <c r="S53" s="87" t="s">
        <v>161</v>
      </c>
      <c r="T53" s="86">
        <f t="shared" si="93"/>
        <v>45807</v>
      </c>
      <c r="U53" s="86">
        <f>IF($C53="","",$C53)</f>
        <v>45807</v>
      </c>
      <c r="V53" s="87">
        <f t="shared" ca="1" si="94"/>
        <v>0</v>
      </c>
      <c r="W53" s="87" t="str">
        <f t="shared" ca="1" si="95"/>
        <v>NO PRAZO</v>
      </c>
      <c r="X53" s="86">
        <f t="shared" si="91"/>
        <v>45808</v>
      </c>
      <c r="Y53" s="86">
        <f>IF($C53="","",$C53+1)</f>
        <v>45808</v>
      </c>
      <c r="Z53" s="87">
        <f t="shared" ca="1" si="96"/>
        <v>0</v>
      </c>
      <c r="AA53" s="87" t="str">
        <f t="shared" ca="1" si="97"/>
        <v>NO PRAZO</v>
      </c>
      <c r="AB53" s="86">
        <f t="shared" si="92"/>
        <v>45808</v>
      </c>
      <c r="AC53" s="86">
        <f>IF($C53="","",$C53+1)</f>
        <v>45808</v>
      </c>
      <c r="AD53" s="87">
        <f t="shared" ca="1" si="98"/>
        <v>0</v>
      </c>
      <c r="AE53" s="87" t="str">
        <f t="shared" ca="1" si="99"/>
        <v>NO PRAZO</v>
      </c>
      <c r="AF53" s="86">
        <f t="shared" si="106"/>
        <v>45815</v>
      </c>
      <c r="AG53" s="86">
        <f t="shared" si="106"/>
        <v>45815</v>
      </c>
      <c r="AH53" s="87">
        <f t="shared" ca="1" si="100"/>
        <v>0</v>
      </c>
      <c r="AI53" s="87" t="str">
        <f t="shared" ca="1" si="101"/>
        <v>NO PRAZO</v>
      </c>
      <c r="AJ53" s="86">
        <f t="shared" si="107"/>
        <v>45816</v>
      </c>
      <c r="AK53" s="86">
        <f t="shared" si="107"/>
        <v>45816</v>
      </c>
      <c r="AL53" s="87">
        <f t="shared" ca="1" si="102"/>
        <v>0</v>
      </c>
      <c r="AM53" s="87" t="str">
        <f t="shared" ca="1" si="103"/>
        <v>NO PRAZO</v>
      </c>
      <c r="AN53" s="86">
        <f t="shared" si="108"/>
        <v>45817</v>
      </c>
      <c r="AO53" s="86">
        <f t="shared" si="108"/>
        <v>45817</v>
      </c>
      <c r="AP53" s="87">
        <f t="shared" ca="1" si="104"/>
        <v>0</v>
      </c>
      <c r="AQ53" s="87" t="str">
        <f t="shared" ca="1" si="105"/>
        <v>NO PRAZO</v>
      </c>
      <c r="AR53" s="86"/>
      <c r="AS53" s="86"/>
      <c r="AT53" s="86"/>
      <c r="AU53" s="71" t="s">
        <v>601</v>
      </c>
      <c r="AV53" s="87" t="s">
        <v>101</v>
      </c>
      <c r="AW53" s="87" t="s">
        <v>87</v>
      </c>
    </row>
    <row r="54" spans="2:49" ht="26.4" x14ac:dyDescent="0.3">
      <c r="B54" s="69" t="str">
        <f>IF(Tabela1[[#This Row],[DATA]],PROPER(TEXT(Tabela1[[#This Row],[DATA]],"mmm")),"")</f>
        <v>Jul</v>
      </c>
      <c r="C54" s="88">
        <v>45842</v>
      </c>
      <c r="D54" s="88" t="str">
        <f t="shared" si="74"/>
        <v>Sexta</v>
      </c>
      <c r="E54" s="88"/>
      <c r="F54" s="67" t="str">
        <f t="shared" si="1"/>
        <v/>
      </c>
      <c r="G54" s="88" t="s">
        <v>369</v>
      </c>
      <c r="H54" s="4" t="s">
        <v>463</v>
      </c>
      <c r="I54" s="89" t="s">
        <v>24</v>
      </c>
      <c r="J54" s="89" t="s">
        <v>300</v>
      </c>
      <c r="K54" s="89"/>
      <c r="L54" s="90" t="s">
        <v>366</v>
      </c>
      <c r="M54" s="89" t="s">
        <v>102</v>
      </c>
      <c r="N54" s="4" t="s">
        <v>676</v>
      </c>
      <c r="O54" s="89" t="s">
        <v>299</v>
      </c>
      <c r="P54" s="89" t="s">
        <v>104</v>
      </c>
      <c r="Q54" s="89" t="s">
        <v>5</v>
      </c>
      <c r="R54" s="89" t="s">
        <v>251</v>
      </c>
      <c r="S54" s="89" t="s">
        <v>161</v>
      </c>
      <c r="T54" s="88">
        <f t="shared" ref="T54:T60" si="109">IF($C54="","",$C54)</f>
        <v>45842</v>
      </c>
      <c r="U54" s="88">
        <v>45842</v>
      </c>
      <c r="V54" s="89">
        <f t="shared" ref="V54:V60" ca="1" si="110">IF($C54="","",IF(U54="",TODAY()-T54,U54-T54))</f>
        <v>0</v>
      </c>
      <c r="W54" s="89" t="str">
        <f t="shared" ref="W54:W60" ca="1" si="111">IF($C54="","",IF(AND($C54&lt;&gt;"",U54=""),IF(T54=TODAY(),"VENCE HOJE",IF(T54&lt;TODAY(),"ATRASADO","NO PRAZO")),IF(U54&lt;=T54,"NO PRAZO","ATRASADO")))</f>
        <v>NO PRAZO</v>
      </c>
      <c r="X54" s="88">
        <f t="shared" ref="X54:X60" si="112">IF($C54="","",$C54+1)</f>
        <v>45843</v>
      </c>
      <c r="Y54" s="88">
        <f>IF($C54="","",$C54+1)</f>
        <v>45843</v>
      </c>
      <c r="Z54" s="89">
        <f t="shared" ref="Z54:Z60" ca="1" si="113">IF($C54="","",IF(Y54="",TODAY()-X54,Y54-X54))</f>
        <v>0</v>
      </c>
      <c r="AA54" s="89" t="str">
        <f t="shared" ref="AA54:AA60" ca="1" si="114">IF($C54="","",IF(AND($C54&lt;&gt;"",Y54=""),IF(X54=TODAY(),"VENCE HOJE",IF(X54&lt;TODAY(),"ATRASADO","NO PRAZO")),IF(Y54&lt;=X54,"NO PRAZO","ATRASADO")))</f>
        <v>NO PRAZO</v>
      </c>
      <c r="AB54" s="88">
        <f t="shared" ref="AB54:AB60" si="115">IF($C54="","",$C54+1)</f>
        <v>45843</v>
      </c>
      <c r="AC54" s="88">
        <f>IF($C54="","",$C54+1)</f>
        <v>45843</v>
      </c>
      <c r="AD54" s="89">
        <f t="shared" ref="AD54:AD60" ca="1" si="116">IF($C54="","",IF(AC54="",TODAY()-AB54,AC54-AB54))</f>
        <v>0</v>
      </c>
      <c r="AE54" s="89" t="str">
        <f t="shared" ref="AE54:AE60" ca="1" si="117">IF($C54="","",IF(AND($C54&lt;&gt;"",AC54=""),IF(AB54=TODAY(),"VENCE HOJE",IF(AB54&lt;TODAY(),"ATRASADO","NO PRAZO")),IF(AC54&lt;=AB54,"NO PRAZO","ATRASADO")))</f>
        <v>NO PRAZO</v>
      </c>
      <c r="AF54" s="88">
        <f t="shared" si="106"/>
        <v>45850</v>
      </c>
      <c r="AG54" s="88">
        <f t="shared" si="106"/>
        <v>45850</v>
      </c>
      <c r="AH54" s="89">
        <f t="shared" ref="AH54:AH60" ca="1" si="118">IF($C54="","",IF(AG54="",TODAY()-AF54,AG54-AF54))</f>
        <v>0</v>
      </c>
      <c r="AI54" s="89" t="str">
        <f t="shared" ref="AI54:AI60" ca="1" si="119">IF($C54="","",IF(AND($C54&lt;&gt;"",AG54=""),IF(AF54=TODAY(),"VENCE HOJE",IF(AF54&lt;TODAY(),"ATRASADO","NO PRAZO")),IF(AG54&lt;=AF54,"NO PRAZO","ATRASADO")))</f>
        <v>NO PRAZO</v>
      </c>
      <c r="AJ54" s="88">
        <f t="shared" si="107"/>
        <v>45851</v>
      </c>
      <c r="AK54" s="88">
        <f t="shared" si="107"/>
        <v>45851</v>
      </c>
      <c r="AL54" s="89">
        <f t="shared" ref="AL54:AL60" ca="1" si="120">IF($C54="","",IF(AK54="",TODAY()-AJ54,AK54-AJ54))</f>
        <v>0</v>
      </c>
      <c r="AM54" s="89" t="str">
        <f t="shared" ref="AM54:AM60" ca="1" si="121">IF($C54="","",IF(AND($C54&lt;&gt;"",AK54=""),IF(AJ54=TODAY(),"VENCE HOJE",IF(AJ54&lt;TODAY(),"ATRASADO","NO PRAZO")),IF(AK54&lt;=AJ54,"NO PRAZO","ATRASADO")))</f>
        <v>NO PRAZO</v>
      </c>
      <c r="AN54" s="88">
        <f t="shared" si="108"/>
        <v>45852</v>
      </c>
      <c r="AO54" s="88">
        <f t="shared" si="108"/>
        <v>45852</v>
      </c>
      <c r="AP54" s="89">
        <f t="shared" ref="AP54:AP60" ca="1" si="122">IF($C54="","",IF(AO54="",TODAY()-AN54,AO54-AN54))</f>
        <v>0</v>
      </c>
      <c r="AQ54" s="89" t="str">
        <f t="shared" ref="AQ54:AQ60" ca="1" si="123">IF($C54="","",IF(AND($C54&lt;&gt;"",AO54=""),IF(AN54=TODAY(),"VENCE HOJE",IF(AN54&lt;TODAY(),"ATRASADO","NO PRAZO")),IF(AO54&lt;=AN54,"NO PRAZO","ATRASADO")))</f>
        <v>NO PRAZO</v>
      </c>
      <c r="AR54" s="88"/>
      <c r="AS54" s="88"/>
      <c r="AT54" s="88"/>
      <c r="AU54" s="71" t="s">
        <v>601</v>
      </c>
      <c r="AV54" s="89" t="s">
        <v>101</v>
      </c>
      <c r="AW54" s="89" t="s">
        <v>87</v>
      </c>
    </row>
    <row r="55" spans="2:49" ht="39.6" x14ac:dyDescent="0.3">
      <c r="B55" s="69" t="str">
        <f>IF(Tabela1[[#This Row],[DATA]],PROPER(TEXT(Tabela1[[#This Row],[DATA]],"mmm")),"")</f>
        <v>Jul</v>
      </c>
      <c r="C55" s="88">
        <v>45851</v>
      </c>
      <c r="D55" s="88" t="str">
        <f t="shared" si="74"/>
        <v>Domingo</v>
      </c>
      <c r="E55" s="88"/>
      <c r="F55" s="67" t="str">
        <f t="shared" si="1"/>
        <v/>
      </c>
      <c r="G55" s="88" t="s">
        <v>364</v>
      </c>
      <c r="H55" s="4" t="s">
        <v>15</v>
      </c>
      <c r="I55" s="41" t="s">
        <v>15</v>
      </c>
      <c r="J55" s="89" t="s">
        <v>300</v>
      </c>
      <c r="K55" s="89"/>
      <c r="L55" s="90" t="s">
        <v>365</v>
      </c>
      <c r="M55" s="89" t="s">
        <v>367</v>
      </c>
      <c r="N55" s="4" t="s">
        <v>676</v>
      </c>
      <c r="O55" s="89" t="s">
        <v>368</v>
      </c>
      <c r="P55" s="89" t="s">
        <v>97</v>
      </c>
      <c r="Q55" s="89" t="s">
        <v>5</v>
      </c>
      <c r="R55" s="89" t="s">
        <v>251</v>
      </c>
      <c r="S55" s="89" t="s">
        <v>161</v>
      </c>
      <c r="T55" s="88">
        <f t="shared" si="109"/>
        <v>45851</v>
      </c>
      <c r="U55" s="88">
        <v>45851</v>
      </c>
      <c r="V55" s="89">
        <f t="shared" ca="1" si="110"/>
        <v>0</v>
      </c>
      <c r="W55" s="89" t="str">
        <f t="shared" ca="1" si="111"/>
        <v>NO PRAZO</v>
      </c>
      <c r="X55" s="88">
        <f t="shared" si="112"/>
        <v>45852</v>
      </c>
      <c r="Y55" s="88">
        <v>45852</v>
      </c>
      <c r="Z55" s="89">
        <f t="shared" ca="1" si="113"/>
        <v>0</v>
      </c>
      <c r="AA55" s="89" t="str">
        <f t="shared" ca="1" si="114"/>
        <v>NO PRAZO</v>
      </c>
      <c r="AB55" s="88">
        <f t="shared" si="115"/>
        <v>45852</v>
      </c>
      <c r="AC55" s="88">
        <v>45852</v>
      </c>
      <c r="AD55" s="89">
        <f t="shared" ca="1" si="116"/>
        <v>0</v>
      </c>
      <c r="AE55" s="89" t="str">
        <f t="shared" ca="1" si="117"/>
        <v>NO PRAZO</v>
      </c>
      <c r="AF55" s="88">
        <f t="shared" si="106"/>
        <v>45859</v>
      </c>
      <c r="AG55" s="88">
        <f t="shared" si="106"/>
        <v>45859</v>
      </c>
      <c r="AH55" s="89">
        <f t="shared" ca="1" si="118"/>
        <v>0</v>
      </c>
      <c r="AI55" s="89" t="str">
        <f t="shared" ca="1" si="119"/>
        <v>NO PRAZO</v>
      </c>
      <c r="AJ55" s="88">
        <f t="shared" si="107"/>
        <v>45860</v>
      </c>
      <c r="AK55" s="88">
        <f t="shared" si="107"/>
        <v>45860</v>
      </c>
      <c r="AL55" s="89">
        <f t="shared" ca="1" si="120"/>
        <v>0</v>
      </c>
      <c r="AM55" s="89" t="str">
        <f t="shared" ca="1" si="121"/>
        <v>NO PRAZO</v>
      </c>
      <c r="AN55" s="88">
        <f t="shared" si="108"/>
        <v>45861</v>
      </c>
      <c r="AO55" s="88">
        <f t="shared" si="108"/>
        <v>45861</v>
      </c>
      <c r="AP55" s="89">
        <f t="shared" ca="1" si="122"/>
        <v>0</v>
      </c>
      <c r="AQ55" s="89" t="str">
        <f t="shared" ca="1" si="123"/>
        <v>NO PRAZO</v>
      </c>
      <c r="AR55" s="88"/>
      <c r="AS55" s="88"/>
      <c r="AT55" s="88"/>
      <c r="AU55" s="71" t="s">
        <v>601</v>
      </c>
      <c r="AV55" s="89" t="s">
        <v>101</v>
      </c>
      <c r="AW55" s="89" t="s">
        <v>87</v>
      </c>
    </row>
    <row r="56" spans="2:49" ht="52.8" x14ac:dyDescent="0.3">
      <c r="B56" s="69" t="str">
        <f>IF(Tabela1[[#This Row],[DATA]],PROPER(TEXT(Tabela1[[#This Row],[DATA]],"mmm")),"")</f>
        <v>Jul</v>
      </c>
      <c r="C56" s="88">
        <v>45852</v>
      </c>
      <c r="D56" s="88" t="str">
        <f t="shared" si="74"/>
        <v>Segunda</v>
      </c>
      <c r="E56" s="88"/>
      <c r="F56" s="67" t="str">
        <f t="shared" si="1"/>
        <v/>
      </c>
      <c r="G56" s="88" t="s">
        <v>370</v>
      </c>
      <c r="H56" s="4" t="s">
        <v>550</v>
      </c>
      <c r="I56" s="89" t="s">
        <v>84</v>
      </c>
      <c r="J56" s="89" t="s">
        <v>261</v>
      </c>
      <c r="K56" s="89"/>
      <c r="L56" s="90" t="s">
        <v>371</v>
      </c>
      <c r="M56" s="89" t="s">
        <v>202</v>
      </c>
      <c r="N56" s="4" t="s">
        <v>675</v>
      </c>
      <c r="O56" s="89" t="s">
        <v>372</v>
      </c>
      <c r="P56" s="89" t="s">
        <v>79</v>
      </c>
      <c r="Q56" s="89" t="s">
        <v>5</v>
      </c>
      <c r="R56" s="89" t="s">
        <v>29</v>
      </c>
      <c r="S56" s="89" t="s">
        <v>161</v>
      </c>
      <c r="T56" s="88">
        <f t="shared" si="109"/>
        <v>45852</v>
      </c>
      <c r="U56" s="88">
        <v>45852</v>
      </c>
      <c r="V56" s="89">
        <f t="shared" ca="1" si="110"/>
        <v>0</v>
      </c>
      <c r="W56" s="89" t="str">
        <f t="shared" ca="1" si="111"/>
        <v>NO PRAZO</v>
      </c>
      <c r="X56" s="88">
        <f t="shared" si="112"/>
        <v>45853</v>
      </c>
      <c r="Y56" s="88">
        <v>45853</v>
      </c>
      <c r="Z56" s="89">
        <f t="shared" ca="1" si="113"/>
        <v>0</v>
      </c>
      <c r="AA56" s="89" t="str">
        <f t="shared" ca="1" si="114"/>
        <v>NO PRAZO</v>
      </c>
      <c r="AB56" s="88">
        <f t="shared" si="115"/>
        <v>45853</v>
      </c>
      <c r="AC56" s="88">
        <v>45853</v>
      </c>
      <c r="AD56" s="89">
        <f t="shared" ca="1" si="116"/>
        <v>0</v>
      </c>
      <c r="AE56" s="89" t="str">
        <f t="shared" ca="1" si="117"/>
        <v>NO PRAZO</v>
      </c>
      <c r="AF56" s="88">
        <f t="shared" si="106"/>
        <v>45860</v>
      </c>
      <c r="AG56" s="88">
        <f t="shared" si="106"/>
        <v>45860</v>
      </c>
      <c r="AH56" s="89">
        <f t="shared" ca="1" si="118"/>
        <v>0</v>
      </c>
      <c r="AI56" s="89" t="str">
        <f t="shared" ca="1" si="119"/>
        <v>NO PRAZO</v>
      </c>
      <c r="AJ56" s="88">
        <f t="shared" si="107"/>
        <v>45861</v>
      </c>
      <c r="AK56" s="88">
        <f t="shared" si="107"/>
        <v>45861</v>
      </c>
      <c r="AL56" s="89">
        <f t="shared" ca="1" si="120"/>
        <v>0</v>
      </c>
      <c r="AM56" s="89" t="str">
        <f t="shared" ca="1" si="121"/>
        <v>NO PRAZO</v>
      </c>
      <c r="AN56" s="88">
        <f t="shared" si="108"/>
        <v>45862</v>
      </c>
      <c r="AO56" s="88">
        <f t="shared" si="108"/>
        <v>45862</v>
      </c>
      <c r="AP56" s="89">
        <f t="shared" ca="1" si="122"/>
        <v>0</v>
      </c>
      <c r="AQ56" s="89" t="str">
        <f t="shared" ca="1" si="123"/>
        <v>NO PRAZO</v>
      </c>
      <c r="AR56" s="88"/>
      <c r="AS56" s="88"/>
      <c r="AT56" s="88"/>
      <c r="AU56" s="85" t="s">
        <v>257</v>
      </c>
      <c r="AV56" s="89" t="s">
        <v>101</v>
      </c>
      <c r="AW56" s="89"/>
    </row>
    <row r="57" spans="2:49" ht="39.6" x14ac:dyDescent="0.3">
      <c r="B57" s="69" t="str">
        <f>IF(Tabela1[[#This Row],[DATA]],PROPER(TEXT(Tabela1[[#This Row],[DATA]],"mmm")),"")</f>
        <v>Jul</v>
      </c>
      <c r="C57" s="88">
        <v>45855</v>
      </c>
      <c r="D57" s="88" t="str">
        <f t="shared" si="74"/>
        <v>Quinta</v>
      </c>
      <c r="E57" s="88"/>
      <c r="F57" s="67" t="str">
        <f t="shared" si="1"/>
        <v/>
      </c>
      <c r="G57" s="88" t="s">
        <v>373</v>
      </c>
      <c r="H57" s="4" t="s">
        <v>343</v>
      </c>
      <c r="I57" s="89" t="s">
        <v>222</v>
      </c>
      <c r="J57" s="89" t="s">
        <v>374</v>
      </c>
      <c r="K57" s="89"/>
      <c r="L57" s="90" t="s">
        <v>375</v>
      </c>
      <c r="M57" s="89" t="s">
        <v>317</v>
      </c>
      <c r="N57" s="4" t="s">
        <v>675</v>
      </c>
      <c r="O57" s="89" t="s">
        <v>96</v>
      </c>
      <c r="P57" s="89" t="s">
        <v>97</v>
      </c>
      <c r="Q57" s="89" t="s">
        <v>5</v>
      </c>
      <c r="R57" s="89" t="s">
        <v>29</v>
      </c>
      <c r="S57" s="89" t="s">
        <v>161</v>
      </c>
      <c r="T57" s="88">
        <f t="shared" si="109"/>
        <v>45855</v>
      </c>
      <c r="U57" s="88">
        <f>IF($C57="","",$C57)</f>
        <v>45855</v>
      </c>
      <c r="V57" s="89">
        <f t="shared" ca="1" si="110"/>
        <v>0</v>
      </c>
      <c r="W57" s="89" t="str">
        <f t="shared" ca="1" si="111"/>
        <v>NO PRAZO</v>
      </c>
      <c r="X57" s="88">
        <f t="shared" si="112"/>
        <v>45856</v>
      </c>
      <c r="Y57" s="88">
        <f>IF($C57="","",$C57+1)</f>
        <v>45856</v>
      </c>
      <c r="Z57" s="89">
        <f t="shared" ca="1" si="113"/>
        <v>0</v>
      </c>
      <c r="AA57" s="89" t="str">
        <f t="shared" ca="1" si="114"/>
        <v>NO PRAZO</v>
      </c>
      <c r="AB57" s="88">
        <f t="shared" si="115"/>
        <v>45856</v>
      </c>
      <c r="AC57" s="88">
        <f>IF($C57="","",$C57+1)</f>
        <v>45856</v>
      </c>
      <c r="AD57" s="89">
        <f t="shared" ca="1" si="116"/>
        <v>0</v>
      </c>
      <c r="AE57" s="89" t="str">
        <f t="shared" ca="1" si="117"/>
        <v>NO PRAZO</v>
      </c>
      <c r="AF57" s="88">
        <f t="shared" si="106"/>
        <v>45863</v>
      </c>
      <c r="AG57" s="88">
        <f t="shared" si="106"/>
        <v>45863</v>
      </c>
      <c r="AH57" s="89">
        <f t="shared" ca="1" si="118"/>
        <v>0</v>
      </c>
      <c r="AI57" s="89" t="str">
        <f t="shared" ca="1" si="119"/>
        <v>NO PRAZO</v>
      </c>
      <c r="AJ57" s="88">
        <f t="shared" si="107"/>
        <v>45864</v>
      </c>
      <c r="AK57" s="88">
        <f t="shared" si="107"/>
        <v>45864</v>
      </c>
      <c r="AL57" s="89">
        <f t="shared" ca="1" si="120"/>
        <v>0</v>
      </c>
      <c r="AM57" s="89" t="str">
        <f t="shared" ca="1" si="121"/>
        <v>NO PRAZO</v>
      </c>
      <c r="AN57" s="88">
        <f t="shared" si="108"/>
        <v>45865</v>
      </c>
      <c r="AO57" s="88">
        <f t="shared" si="108"/>
        <v>45865</v>
      </c>
      <c r="AP57" s="89">
        <f t="shared" ca="1" si="122"/>
        <v>0</v>
      </c>
      <c r="AQ57" s="89" t="str">
        <f t="shared" ca="1" si="123"/>
        <v>NO PRAZO</v>
      </c>
      <c r="AR57" s="88"/>
      <c r="AS57" s="88"/>
      <c r="AT57" s="88"/>
      <c r="AU57" s="85" t="s">
        <v>257</v>
      </c>
      <c r="AV57" s="89" t="s">
        <v>101</v>
      </c>
      <c r="AW57" s="89"/>
    </row>
    <row r="58" spans="2:49" ht="39.6" x14ac:dyDescent="0.3">
      <c r="B58" s="69" t="str">
        <f>IF(Tabela1[[#This Row],[DATA]],PROPER(TEXT(Tabela1[[#This Row],[DATA]],"mmm")),"")</f>
        <v>Jul</v>
      </c>
      <c r="C58" s="88">
        <v>45861</v>
      </c>
      <c r="D58" s="88" t="str">
        <f t="shared" si="74"/>
        <v>Quarta</v>
      </c>
      <c r="E58" s="88"/>
      <c r="F58" s="67" t="str">
        <f t="shared" si="1"/>
        <v/>
      </c>
      <c r="G58" s="88" t="s">
        <v>376</v>
      </c>
      <c r="H58" s="4" t="s">
        <v>463</v>
      </c>
      <c r="I58" s="89" t="s">
        <v>24</v>
      </c>
      <c r="J58" s="89" t="s">
        <v>300</v>
      </c>
      <c r="K58" s="89"/>
      <c r="L58" s="90" t="s">
        <v>377</v>
      </c>
      <c r="M58" s="89" t="s">
        <v>378</v>
      </c>
      <c r="N58" s="4" t="s">
        <v>676</v>
      </c>
      <c r="O58" s="89" t="s">
        <v>299</v>
      </c>
      <c r="P58" s="89" t="s">
        <v>104</v>
      </c>
      <c r="Q58" s="89" t="s">
        <v>5</v>
      </c>
      <c r="R58" s="89" t="s">
        <v>251</v>
      </c>
      <c r="S58" s="89" t="s">
        <v>161</v>
      </c>
      <c r="T58" s="88">
        <f t="shared" si="109"/>
        <v>45861</v>
      </c>
      <c r="U58" s="88">
        <f>IF($C58="","",$C58)</f>
        <v>45861</v>
      </c>
      <c r="V58" s="89">
        <f t="shared" ca="1" si="110"/>
        <v>0</v>
      </c>
      <c r="W58" s="89" t="str">
        <f t="shared" ca="1" si="111"/>
        <v>NO PRAZO</v>
      </c>
      <c r="X58" s="88">
        <f t="shared" si="112"/>
        <v>45862</v>
      </c>
      <c r="Y58" s="88">
        <f>IF($C58="","",$C58+1)</f>
        <v>45862</v>
      </c>
      <c r="Z58" s="89">
        <f t="shared" ca="1" si="113"/>
        <v>0</v>
      </c>
      <c r="AA58" s="89" t="str">
        <f t="shared" ca="1" si="114"/>
        <v>NO PRAZO</v>
      </c>
      <c r="AB58" s="88">
        <f t="shared" si="115"/>
        <v>45862</v>
      </c>
      <c r="AC58" s="88">
        <f>IF($C58="","",$C58+1)</f>
        <v>45862</v>
      </c>
      <c r="AD58" s="89">
        <f t="shared" ca="1" si="116"/>
        <v>0</v>
      </c>
      <c r="AE58" s="89" t="str">
        <f t="shared" ca="1" si="117"/>
        <v>NO PRAZO</v>
      </c>
      <c r="AF58" s="88">
        <f t="shared" ref="AF58:AG60" si="124">IF($C58="","",$C58+8)</f>
        <v>45869</v>
      </c>
      <c r="AG58" s="88">
        <f t="shared" si="124"/>
        <v>45869</v>
      </c>
      <c r="AH58" s="89">
        <f t="shared" ca="1" si="118"/>
        <v>0</v>
      </c>
      <c r="AI58" s="89" t="str">
        <f t="shared" ca="1" si="119"/>
        <v>NO PRAZO</v>
      </c>
      <c r="AJ58" s="88">
        <f t="shared" ref="AJ58:AK60" si="125">IF($C58="","",$C58+9)</f>
        <v>45870</v>
      </c>
      <c r="AK58" s="88">
        <f t="shared" si="125"/>
        <v>45870</v>
      </c>
      <c r="AL58" s="89">
        <f t="shared" ca="1" si="120"/>
        <v>0</v>
      </c>
      <c r="AM58" s="89" t="str">
        <f t="shared" ca="1" si="121"/>
        <v>NO PRAZO</v>
      </c>
      <c r="AN58" s="88">
        <f t="shared" si="108"/>
        <v>45871</v>
      </c>
      <c r="AO58" s="88">
        <f t="shared" si="108"/>
        <v>45871</v>
      </c>
      <c r="AP58" s="89">
        <f t="shared" ca="1" si="122"/>
        <v>0</v>
      </c>
      <c r="AQ58" s="89" t="str">
        <f t="shared" ca="1" si="123"/>
        <v>NO PRAZO</v>
      </c>
      <c r="AR58" s="88"/>
      <c r="AS58" s="88"/>
      <c r="AT58" s="88"/>
      <c r="AU58" s="71" t="s">
        <v>601</v>
      </c>
      <c r="AV58" s="89" t="s">
        <v>101</v>
      </c>
      <c r="AW58" s="89" t="s">
        <v>87</v>
      </c>
    </row>
    <row r="59" spans="2:49" ht="52.8" x14ac:dyDescent="0.3">
      <c r="B59" s="69" t="str">
        <f>IF(Tabela1[[#This Row],[DATA]],PROPER(TEXT(Tabela1[[#This Row],[DATA]],"mmm")),"")</f>
        <v>Jul</v>
      </c>
      <c r="C59" s="88">
        <v>45862</v>
      </c>
      <c r="D59" s="88" t="str">
        <f t="shared" si="74"/>
        <v>Quinta</v>
      </c>
      <c r="E59" s="88"/>
      <c r="F59" s="67" t="str">
        <f t="shared" si="1"/>
        <v/>
      </c>
      <c r="G59" s="88" t="s">
        <v>379</v>
      </c>
      <c r="H59" s="4" t="s">
        <v>496</v>
      </c>
      <c r="I59" s="89" t="s">
        <v>84</v>
      </c>
      <c r="J59" s="89" t="s">
        <v>300</v>
      </c>
      <c r="K59" s="89"/>
      <c r="L59" s="90" t="s">
        <v>380</v>
      </c>
      <c r="M59" s="89" t="s">
        <v>381</v>
      </c>
      <c r="N59" s="4" t="s">
        <v>675</v>
      </c>
      <c r="O59" s="89" t="s">
        <v>96</v>
      </c>
      <c r="P59" s="89" t="s">
        <v>97</v>
      </c>
      <c r="Q59" s="89" t="s">
        <v>5</v>
      </c>
      <c r="R59" s="89" t="s">
        <v>29</v>
      </c>
      <c r="S59" s="89" t="s">
        <v>161</v>
      </c>
      <c r="T59" s="88">
        <f t="shared" si="109"/>
        <v>45862</v>
      </c>
      <c r="U59" s="88">
        <f>IF($C59="","",$C59)</f>
        <v>45862</v>
      </c>
      <c r="V59" s="89">
        <f t="shared" ca="1" si="110"/>
        <v>0</v>
      </c>
      <c r="W59" s="89" t="str">
        <f t="shared" ca="1" si="111"/>
        <v>NO PRAZO</v>
      </c>
      <c r="X59" s="88">
        <f t="shared" si="112"/>
        <v>45863</v>
      </c>
      <c r="Y59" s="88">
        <f>IF($C59="","",$C59+1)</f>
        <v>45863</v>
      </c>
      <c r="Z59" s="89">
        <f t="shared" ca="1" si="113"/>
        <v>0</v>
      </c>
      <c r="AA59" s="89" t="str">
        <f t="shared" ca="1" si="114"/>
        <v>NO PRAZO</v>
      </c>
      <c r="AB59" s="88">
        <f t="shared" si="115"/>
        <v>45863</v>
      </c>
      <c r="AC59" s="88">
        <f>IF($C59="","",$C59+1)</f>
        <v>45863</v>
      </c>
      <c r="AD59" s="89">
        <f t="shared" ca="1" si="116"/>
        <v>0</v>
      </c>
      <c r="AE59" s="89" t="str">
        <f t="shared" ca="1" si="117"/>
        <v>NO PRAZO</v>
      </c>
      <c r="AF59" s="88">
        <f t="shared" si="124"/>
        <v>45870</v>
      </c>
      <c r="AG59" s="88">
        <f t="shared" si="124"/>
        <v>45870</v>
      </c>
      <c r="AH59" s="89">
        <f t="shared" ca="1" si="118"/>
        <v>0</v>
      </c>
      <c r="AI59" s="89" t="str">
        <f t="shared" ca="1" si="119"/>
        <v>NO PRAZO</v>
      </c>
      <c r="AJ59" s="88">
        <f t="shared" si="125"/>
        <v>45871</v>
      </c>
      <c r="AK59" s="88">
        <f t="shared" si="125"/>
        <v>45871</v>
      </c>
      <c r="AL59" s="89">
        <f t="shared" ca="1" si="120"/>
        <v>0</v>
      </c>
      <c r="AM59" s="89" t="str">
        <f t="shared" ca="1" si="121"/>
        <v>NO PRAZO</v>
      </c>
      <c r="AN59" s="88">
        <f t="shared" si="108"/>
        <v>45872</v>
      </c>
      <c r="AO59" s="88">
        <f t="shared" si="108"/>
        <v>45872</v>
      </c>
      <c r="AP59" s="89">
        <f t="shared" ca="1" si="122"/>
        <v>0</v>
      </c>
      <c r="AQ59" s="89" t="str">
        <f t="shared" ca="1" si="123"/>
        <v>NO PRAZO</v>
      </c>
      <c r="AR59" s="88"/>
      <c r="AS59" s="88"/>
      <c r="AT59" s="88"/>
      <c r="AU59" s="71" t="s">
        <v>601</v>
      </c>
      <c r="AV59" s="89" t="s">
        <v>101</v>
      </c>
      <c r="AW59" s="89" t="s">
        <v>87</v>
      </c>
    </row>
    <row r="60" spans="2:49" ht="39.6" x14ac:dyDescent="0.3">
      <c r="B60" s="69" t="str">
        <f>IF(Tabela1[[#This Row],[DATA]],PROPER(TEXT(Tabela1[[#This Row],[DATA]],"mmm")),"")</f>
        <v>Jul</v>
      </c>
      <c r="C60" s="88">
        <v>45862</v>
      </c>
      <c r="D60" s="88" t="str">
        <f t="shared" si="74"/>
        <v>Quinta</v>
      </c>
      <c r="E60" s="88"/>
      <c r="F60" s="67" t="str">
        <f t="shared" si="1"/>
        <v/>
      </c>
      <c r="G60" s="88" t="s">
        <v>382</v>
      </c>
      <c r="H60" s="4" t="s">
        <v>383</v>
      </c>
      <c r="I60" s="89" t="s">
        <v>24</v>
      </c>
      <c r="J60" s="89" t="s">
        <v>300</v>
      </c>
      <c r="K60" s="89"/>
      <c r="L60" s="90" t="s">
        <v>384</v>
      </c>
      <c r="M60" s="89" t="s">
        <v>329</v>
      </c>
      <c r="N60" s="4" t="s">
        <v>675</v>
      </c>
      <c r="O60" s="89" t="s">
        <v>78</v>
      </c>
      <c r="P60" s="89" t="s">
        <v>79</v>
      </c>
      <c r="Q60" s="89" t="s">
        <v>5</v>
      </c>
      <c r="R60" s="89" t="s">
        <v>251</v>
      </c>
      <c r="S60" s="89" t="s">
        <v>161</v>
      </c>
      <c r="T60" s="88">
        <f t="shared" si="109"/>
        <v>45862</v>
      </c>
      <c r="U60" s="88">
        <f>IF($C60="","",$C60)</f>
        <v>45862</v>
      </c>
      <c r="V60" s="89">
        <f t="shared" ca="1" si="110"/>
        <v>0</v>
      </c>
      <c r="W60" s="89" t="str">
        <f t="shared" ca="1" si="111"/>
        <v>NO PRAZO</v>
      </c>
      <c r="X60" s="88">
        <f t="shared" si="112"/>
        <v>45863</v>
      </c>
      <c r="Y60" s="88">
        <f>IF($C60="","",$C60+1)</f>
        <v>45863</v>
      </c>
      <c r="Z60" s="89">
        <f t="shared" ca="1" si="113"/>
        <v>0</v>
      </c>
      <c r="AA60" s="89" t="str">
        <f t="shared" ca="1" si="114"/>
        <v>NO PRAZO</v>
      </c>
      <c r="AB60" s="88">
        <f t="shared" si="115"/>
        <v>45863</v>
      </c>
      <c r="AC60" s="88">
        <f>IF($C60="","",$C60+1)</f>
        <v>45863</v>
      </c>
      <c r="AD60" s="89">
        <f t="shared" ca="1" si="116"/>
        <v>0</v>
      </c>
      <c r="AE60" s="89" t="str">
        <f t="shared" ca="1" si="117"/>
        <v>NO PRAZO</v>
      </c>
      <c r="AF60" s="88">
        <f t="shared" si="124"/>
        <v>45870</v>
      </c>
      <c r="AG60" s="88">
        <f t="shared" si="124"/>
        <v>45870</v>
      </c>
      <c r="AH60" s="89">
        <f t="shared" ca="1" si="118"/>
        <v>0</v>
      </c>
      <c r="AI60" s="89" t="str">
        <f t="shared" ca="1" si="119"/>
        <v>NO PRAZO</v>
      </c>
      <c r="AJ60" s="88">
        <f t="shared" si="125"/>
        <v>45871</v>
      </c>
      <c r="AK60" s="88">
        <f t="shared" si="125"/>
        <v>45871</v>
      </c>
      <c r="AL60" s="89">
        <f t="shared" ca="1" si="120"/>
        <v>0</v>
      </c>
      <c r="AM60" s="89" t="str">
        <f t="shared" ca="1" si="121"/>
        <v>NO PRAZO</v>
      </c>
      <c r="AN60" s="88">
        <f t="shared" si="108"/>
        <v>45872</v>
      </c>
      <c r="AO60" s="88">
        <f t="shared" si="108"/>
        <v>45872</v>
      </c>
      <c r="AP60" s="89">
        <f t="shared" ca="1" si="122"/>
        <v>0</v>
      </c>
      <c r="AQ60" s="89" t="str">
        <f t="shared" ca="1" si="123"/>
        <v>NO PRAZO</v>
      </c>
      <c r="AR60" s="88"/>
      <c r="AS60" s="88"/>
      <c r="AT60" s="88"/>
      <c r="AU60" s="71" t="s">
        <v>601</v>
      </c>
      <c r="AV60" s="89" t="s">
        <v>101</v>
      </c>
      <c r="AW60" s="89" t="s">
        <v>101</v>
      </c>
    </row>
    <row r="61" spans="2:49" ht="39.6" x14ac:dyDescent="0.3">
      <c r="B61" s="69" t="str">
        <f>IF(Tabela1[[#This Row],[DATA]],PROPER(TEXT(Tabela1[[#This Row],[DATA]],"mmm")),"")</f>
        <v>Jul</v>
      </c>
      <c r="C61" s="88">
        <v>45867</v>
      </c>
      <c r="D61" s="88" t="str">
        <f t="shared" si="74"/>
        <v>Terça</v>
      </c>
      <c r="E61" s="88"/>
      <c r="F61" s="67" t="str">
        <f t="shared" si="1"/>
        <v/>
      </c>
      <c r="G61" s="88" t="s">
        <v>385</v>
      </c>
      <c r="H61" s="4" t="s">
        <v>546</v>
      </c>
      <c r="I61" s="89" t="s">
        <v>84</v>
      </c>
      <c r="J61" s="89" t="s">
        <v>300</v>
      </c>
      <c r="K61" s="89"/>
      <c r="L61" s="90" t="s">
        <v>386</v>
      </c>
      <c r="M61" s="89" t="s">
        <v>182</v>
      </c>
      <c r="N61" s="4" t="s">
        <v>675</v>
      </c>
      <c r="O61" s="89" t="s">
        <v>78</v>
      </c>
      <c r="P61" s="89" t="s">
        <v>79</v>
      </c>
      <c r="Q61" s="89" t="s">
        <v>5</v>
      </c>
      <c r="R61" s="89" t="s">
        <v>251</v>
      </c>
      <c r="S61" s="89" t="s">
        <v>161</v>
      </c>
      <c r="T61" s="88">
        <f t="shared" ref="T61:T65" si="126">IF($C61="","",$C61)</f>
        <v>45867</v>
      </c>
      <c r="U61" s="88">
        <v>45867</v>
      </c>
      <c r="V61" s="89">
        <f t="shared" ref="V61:V65" ca="1" si="127">IF($C61="","",IF(U61="",TODAY()-T61,U61-T61))</f>
        <v>0</v>
      </c>
      <c r="W61" s="89" t="str">
        <f t="shared" ref="W61:W65" ca="1" si="128">IF($C61="","",IF(AND($C61&lt;&gt;"",U61=""),IF(T61=TODAY(),"VENCE HOJE",IF(T61&lt;TODAY(),"ATRASADO","NO PRAZO")),IF(U61&lt;=T61,"NO PRAZO","ATRASADO")))</f>
        <v>NO PRAZO</v>
      </c>
      <c r="X61" s="88">
        <f t="shared" ref="X61:X65" si="129">IF($C61="","",$C61+1)</f>
        <v>45868</v>
      </c>
      <c r="Y61" s="88">
        <v>45868</v>
      </c>
      <c r="Z61" s="89">
        <f t="shared" ref="Z61:Z65" ca="1" si="130">IF($C61="","",IF(Y61="",TODAY()-X61,Y61-X61))</f>
        <v>0</v>
      </c>
      <c r="AA61" s="89" t="str">
        <f t="shared" ref="AA61:AA65" ca="1" si="131">IF($C61="","",IF(AND($C61&lt;&gt;"",Y61=""),IF(X61=TODAY(),"VENCE HOJE",IF(X61&lt;TODAY(),"ATRASADO","NO PRAZO")),IF(Y61&lt;=X61,"NO PRAZO","ATRASADO")))</f>
        <v>NO PRAZO</v>
      </c>
      <c r="AB61" s="88">
        <f t="shared" ref="AB61:AB65" si="132">IF($C61="","",$C61+1)</f>
        <v>45868</v>
      </c>
      <c r="AC61" s="88">
        <v>45868</v>
      </c>
      <c r="AD61" s="89">
        <f t="shared" ref="AD61:AD65" ca="1" si="133">IF($C61="","",IF(AC61="",TODAY()-AB61,AC61-AB61))</f>
        <v>0</v>
      </c>
      <c r="AE61" s="89" t="str">
        <f t="shared" ref="AE61:AE65" ca="1" si="134">IF($C61="","",IF(AND($C61&lt;&gt;"",AC61=""),IF(AB61=TODAY(),"VENCE HOJE",IF(AB61&lt;TODAY(),"ATRASADO","NO PRAZO")),IF(AC61&lt;=AB61,"NO PRAZO","ATRASADO")))</f>
        <v>NO PRAZO</v>
      </c>
      <c r="AF61" s="88">
        <f>IF($C61="","",$C61+8)</f>
        <v>45875</v>
      </c>
      <c r="AG61" s="88">
        <f>IF($C61="","",$C61+8)</f>
        <v>45875</v>
      </c>
      <c r="AH61" s="89">
        <f t="shared" ref="AH61:AH65" ca="1" si="135">IF($C61="","",IF(AG61="",TODAY()-AF61,AG61-AF61))</f>
        <v>0</v>
      </c>
      <c r="AI61" s="89" t="str">
        <f t="shared" ref="AI61:AI65" ca="1" si="136">IF($C61="","",IF(AND($C61&lt;&gt;"",AG61=""),IF(AF61=TODAY(),"VENCE HOJE",IF(AF61&lt;TODAY(),"ATRASADO","NO PRAZO")),IF(AG61&lt;=AF61,"NO PRAZO","ATRASADO")))</f>
        <v>NO PRAZO</v>
      </c>
      <c r="AJ61" s="88">
        <f>IF($C61="","",$C61+9)</f>
        <v>45876</v>
      </c>
      <c r="AK61" s="88">
        <f>IF($C61="","",$C61+9)</f>
        <v>45876</v>
      </c>
      <c r="AL61" s="89">
        <f t="shared" ref="AL61:AL65" ca="1" si="137">IF($C61="","",IF(AK61="",TODAY()-AJ61,AK61-AJ61))</f>
        <v>0</v>
      </c>
      <c r="AM61" s="89" t="str">
        <f t="shared" ref="AM61:AM65" ca="1" si="138">IF($C61="","",IF(AND($C61&lt;&gt;"",AK61=""),IF(AJ61=TODAY(),"VENCE HOJE",IF(AJ61&lt;TODAY(),"ATRASADO","NO PRAZO")),IF(AK61&lt;=AJ61,"NO PRAZO","ATRASADO")))</f>
        <v>NO PRAZO</v>
      </c>
      <c r="AN61" s="88">
        <f>IF($C61="","",$C61+10)</f>
        <v>45877</v>
      </c>
      <c r="AO61" s="88">
        <f>IF($C61="","",$C61+10)</f>
        <v>45877</v>
      </c>
      <c r="AP61" s="89">
        <f t="shared" ref="AP61:AP65" ca="1" si="139">IF($C61="","",IF(AO61="",TODAY()-AN61,AO61-AN61))</f>
        <v>0</v>
      </c>
      <c r="AQ61" s="89" t="str">
        <f t="shared" ref="AQ61:AQ65" ca="1" si="140">IF($C61="","",IF(AND($C61&lt;&gt;"",AO61=""),IF(AN61=TODAY(),"VENCE HOJE",IF(AN61&lt;TODAY(),"ATRASADO","NO PRAZO")),IF(AO61&lt;=AN61,"NO PRAZO","ATRASADO")))</f>
        <v>NO PRAZO</v>
      </c>
      <c r="AR61" s="88"/>
      <c r="AS61" s="88"/>
      <c r="AT61" s="88"/>
      <c r="AU61" s="71" t="s">
        <v>601</v>
      </c>
      <c r="AV61" s="89" t="s">
        <v>101</v>
      </c>
      <c r="AW61" s="89" t="s">
        <v>87</v>
      </c>
    </row>
    <row r="62" spans="2:49" ht="39.6" x14ac:dyDescent="0.3">
      <c r="B62" s="69" t="str">
        <f>IF(Tabela1[[#This Row],[DATA]],PROPER(TEXT(Tabela1[[#This Row],[DATA]],"mmm")),"")</f>
        <v>Ago</v>
      </c>
      <c r="C62" s="88">
        <v>45873</v>
      </c>
      <c r="D62" s="88" t="str">
        <f t="shared" si="74"/>
        <v>Segunda</v>
      </c>
      <c r="E62" s="88"/>
      <c r="F62" s="67" t="str">
        <f t="shared" si="1"/>
        <v/>
      </c>
      <c r="G62" s="88" t="s">
        <v>387</v>
      </c>
      <c r="H62" s="4" t="s">
        <v>505</v>
      </c>
      <c r="I62" s="89" t="s">
        <v>115</v>
      </c>
      <c r="J62" s="89" t="s">
        <v>261</v>
      </c>
      <c r="K62" s="89"/>
      <c r="L62" s="90" t="s">
        <v>388</v>
      </c>
      <c r="M62" s="89" t="s">
        <v>287</v>
      </c>
      <c r="N62" s="4" t="s">
        <v>675</v>
      </c>
      <c r="O62" s="89" t="s">
        <v>113</v>
      </c>
      <c r="P62" s="89" t="s">
        <v>93</v>
      </c>
      <c r="Q62" s="89" t="s">
        <v>5</v>
      </c>
      <c r="R62" s="89" t="s">
        <v>29</v>
      </c>
      <c r="S62" s="89" t="s">
        <v>389</v>
      </c>
      <c r="T62" s="88">
        <f t="shared" si="126"/>
        <v>45873</v>
      </c>
      <c r="U62" s="88">
        <f>IF($C62="","",$C62)</f>
        <v>45873</v>
      </c>
      <c r="V62" s="89">
        <f t="shared" ca="1" si="127"/>
        <v>0</v>
      </c>
      <c r="W62" s="89" t="str">
        <f t="shared" ca="1" si="128"/>
        <v>NO PRAZO</v>
      </c>
      <c r="X62" s="88">
        <f t="shared" si="129"/>
        <v>45874</v>
      </c>
      <c r="Y62" s="88">
        <f>IF($C62="","",$C62+1)</f>
        <v>45874</v>
      </c>
      <c r="Z62" s="89">
        <f t="shared" ca="1" si="130"/>
        <v>0</v>
      </c>
      <c r="AA62" s="89" t="str">
        <f t="shared" ca="1" si="131"/>
        <v>NO PRAZO</v>
      </c>
      <c r="AB62" s="88">
        <f t="shared" si="132"/>
        <v>45874</v>
      </c>
      <c r="AC62" s="88">
        <f t="shared" ref="AC62:AC68" si="141">IF($C62="","",$C62+1)</f>
        <v>45874</v>
      </c>
      <c r="AD62" s="89">
        <f t="shared" ca="1" si="133"/>
        <v>0</v>
      </c>
      <c r="AE62" s="89" t="str">
        <f t="shared" ca="1" si="134"/>
        <v>NO PRAZO</v>
      </c>
      <c r="AF62" s="88">
        <f t="shared" ref="AF62:AF66" si="142">IF($C62="","",$C62+8)</f>
        <v>45881</v>
      </c>
      <c r="AG62" s="88">
        <f t="shared" ref="AG62:AG68" si="143">IF($C62="","",$C62+8)</f>
        <v>45881</v>
      </c>
      <c r="AH62" s="89">
        <f t="shared" ca="1" si="135"/>
        <v>0</v>
      </c>
      <c r="AI62" s="89" t="str">
        <f t="shared" ca="1" si="136"/>
        <v>NO PRAZO</v>
      </c>
      <c r="AJ62" s="88">
        <f t="shared" ref="AJ62:AK66" si="144">IF($C62="","",$C62+9)</f>
        <v>45882</v>
      </c>
      <c r="AK62" s="88">
        <f>IF($C62="","",$C62+9)</f>
        <v>45882</v>
      </c>
      <c r="AL62" s="89">
        <f t="shared" ca="1" si="137"/>
        <v>0</v>
      </c>
      <c r="AM62" s="89" t="str">
        <f t="shared" ca="1" si="138"/>
        <v>NO PRAZO</v>
      </c>
      <c r="AN62" s="88">
        <f t="shared" ref="AN62:AO66" si="145">IF($C62="","",$C62+10)</f>
        <v>45883</v>
      </c>
      <c r="AO62" s="88">
        <f>IF($C62="","",$C62+10)</f>
        <v>45883</v>
      </c>
      <c r="AP62" s="89">
        <f t="shared" ca="1" si="139"/>
        <v>0</v>
      </c>
      <c r="AQ62" s="89" t="str">
        <f t="shared" ca="1" si="140"/>
        <v>NO PRAZO</v>
      </c>
      <c r="AR62" s="88"/>
      <c r="AS62" s="88"/>
      <c r="AT62" s="88"/>
      <c r="AU62" s="85" t="s">
        <v>257</v>
      </c>
      <c r="AV62" s="89" t="s">
        <v>101</v>
      </c>
      <c r="AW62" s="89"/>
    </row>
    <row r="63" spans="2:49" ht="52.8" x14ac:dyDescent="0.3">
      <c r="B63" s="69" t="str">
        <f>IF(Tabela1[[#This Row],[DATA]],PROPER(TEXT(Tabela1[[#This Row],[DATA]],"mmm")),"")</f>
        <v>Ago</v>
      </c>
      <c r="C63" s="88">
        <v>45873</v>
      </c>
      <c r="D63" s="88" t="str">
        <f t="shared" si="74"/>
        <v>Segunda</v>
      </c>
      <c r="E63" s="88"/>
      <c r="F63" s="67" t="str">
        <f t="shared" si="1"/>
        <v/>
      </c>
      <c r="G63" s="88" t="s">
        <v>390</v>
      </c>
      <c r="H63" s="4" t="s">
        <v>464</v>
      </c>
      <c r="I63" s="89" t="s">
        <v>24</v>
      </c>
      <c r="J63" s="89" t="s">
        <v>300</v>
      </c>
      <c r="K63" s="89"/>
      <c r="L63" s="90" t="s">
        <v>391</v>
      </c>
      <c r="M63" s="89" t="s">
        <v>401</v>
      </c>
      <c r="N63" s="4" t="s">
        <v>675</v>
      </c>
      <c r="O63" s="89" t="s">
        <v>436</v>
      </c>
      <c r="P63" s="89" t="s">
        <v>26</v>
      </c>
      <c r="Q63" s="89" t="s">
        <v>5</v>
      </c>
      <c r="R63" s="89" t="s">
        <v>251</v>
      </c>
      <c r="S63" s="89" t="s">
        <v>161</v>
      </c>
      <c r="T63" s="88">
        <f t="shared" si="126"/>
        <v>45873</v>
      </c>
      <c r="U63" s="88">
        <f>IF($C63="","",$C63)</f>
        <v>45873</v>
      </c>
      <c r="V63" s="89">
        <f t="shared" ca="1" si="127"/>
        <v>0</v>
      </c>
      <c r="W63" s="89" t="str">
        <f t="shared" ca="1" si="128"/>
        <v>NO PRAZO</v>
      </c>
      <c r="X63" s="88">
        <f t="shared" si="129"/>
        <v>45874</v>
      </c>
      <c r="Y63" s="88">
        <f>IF($C63="","",$C63+1)</f>
        <v>45874</v>
      </c>
      <c r="Z63" s="89">
        <f t="shared" ca="1" si="130"/>
        <v>0</v>
      </c>
      <c r="AA63" s="89" t="str">
        <f t="shared" ca="1" si="131"/>
        <v>NO PRAZO</v>
      </c>
      <c r="AB63" s="88">
        <f t="shared" si="132"/>
        <v>45874</v>
      </c>
      <c r="AC63" s="88">
        <f t="shared" si="141"/>
        <v>45874</v>
      </c>
      <c r="AD63" s="89">
        <f t="shared" ca="1" si="133"/>
        <v>0</v>
      </c>
      <c r="AE63" s="89" t="str">
        <f t="shared" ca="1" si="134"/>
        <v>NO PRAZO</v>
      </c>
      <c r="AF63" s="88">
        <f t="shared" si="142"/>
        <v>45881</v>
      </c>
      <c r="AG63" s="88">
        <f t="shared" si="143"/>
        <v>45881</v>
      </c>
      <c r="AH63" s="89">
        <f t="shared" ca="1" si="135"/>
        <v>0</v>
      </c>
      <c r="AI63" s="89" t="str">
        <f t="shared" ca="1" si="136"/>
        <v>NO PRAZO</v>
      </c>
      <c r="AJ63" s="88">
        <f t="shared" si="144"/>
        <v>45882</v>
      </c>
      <c r="AK63" s="88">
        <f>IF($C63="","",$C63+9)</f>
        <v>45882</v>
      </c>
      <c r="AL63" s="89">
        <f t="shared" ca="1" si="137"/>
        <v>0</v>
      </c>
      <c r="AM63" s="89" t="str">
        <f t="shared" ca="1" si="138"/>
        <v>NO PRAZO</v>
      </c>
      <c r="AN63" s="88">
        <f t="shared" si="145"/>
        <v>45883</v>
      </c>
      <c r="AO63" s="88">
        <f>IF($C63="","",$C63+10)</f>
        <v>45883</v>
      </c>
      <c r="AP63" s="89">
        <f t="shared" ca="1" si="139"/>
        <v>0</v>
      </c>
      <c r="AQ63" s="89" t="str">
        <f t="shared" ca="1" si="140"/>
        <v>NO PRAZO</v>
      </c>
      <c r="AR63" s="88"/>
      <c r="AS63" s="88"/>
      <c r="AT63" s="88"/>
      <c r="AU63" s="71" t="s">
        <v>601</v>
      </c>
      <c r="AV63" s="89" t="s">
        <v>101</v>
      </c>
      <c r="AW63" s="89" t="s">
        <v>87</v>
      </c>
    </row>
    <row r="64" spans="2:49" ht="39.6" x14ac:dyDescent="0.3">
      <c r="B64" s="69" t="str">
        <f>IF(Tabela1[[#This Row],[DATA]],PROPER(TEXT(Tabela1[[#This Row],[DATA]],"mmm")),"")</f>
        <v>Ago</v>
      </c>
      <c r="C64" s="88">
        <v>45874</v>
      </c>
      <c r="D64" s="88" t="str">
        <f t="shared" si="74"/>
        <v>Terça</v>
      </c>
      <c r="E64" s="88"/>
      <c r="F64" s="67" t="str">
        <f t="shared" si="1"/>
        <v/>
      </c>
      <c r="G64" s="88" t="s">
        <v>392</v>
      </c>
      <c r="H64" s="4" t="s">
        <v>465</v>
      </c>
      <c r="I64" s="89" t="s">
        <v>24</v>
      </c>
      <c r="J64" s="89" t="s">
        <v>261</v>
      </c>
      <c r="K64" s="89"/>
      <c r="L64" s="90" t="s">
        <v>393</v>
      </c>
      <c r="M64" s="89" t="s">
        <v>214</v>
      </c>
      <c r="N64" s="4" t="s">
        <v>675</v>
      </c>
      <c r="O64" s="89" t="s">
        <v>394</v>
      </c>
      <c r="P64" s="89" t="s">
        <v>93</v>
      </c>
      <c r="Q64" s="89" t="s">
        <v>5</v>
      </c>
      <c r="R64" s="89" t="s">
        <v>29</v>
      </c>
      <c r="S64" s="89" t="s">
        <v>395</v>
      </c>
      <c r="T64" s="88">
        <f t="shared" si="126"/>
        <v>45874</v>
      </c>
      <c r="U64" s="88">
        <f>IF($C64="","",$C64)</f>
        <v>45874</v>
      </c>
      <c r="V64" s="89">
        <f t="shared" ca="1" si="127"/>
        <v>0</v>
      </c>
      <c r="W64" s="89" t="str">
        <f t="shared" ca="1" si="128"/>
        <v>NO PRAZO</v>
      </c>
      <c r="X64" s="88">
        <f t="shared" si="129"/>
        <v>45875</v>
      </c>
      <c r="Y64" s="88">
        <f>IF($C64="","",$C64+1)</f>
        <v>45875</v>
      </c>
      <c r="Z64" s="89">
        <f t="shared" ca="1" si="130"/>
        <v>0</v>
      </c>
      <c r="AA64" s="89" t="str">
        <f t="shared" ca="1" si="131"/>
        <v>NO PRAZO</v>
      </c>
      <c r="AB64" s="88">
        <f t="shared" si="132"/>
        <v>45875</v>
      </c>
      <c r="AC64" s="88">
        <f t="shared" si="141"/>
        <v>45875</v>
      </c>
      <c r="AD64" s="89">
        <f t="shared" ca="1" si="133"/>
        <v>0</v>
      </c>
      <c r="AE64" s="89" t="str">
        <f t="shared" ca="1" si="134"/>
        <v>NO PRAZO</v>
      </c>
      <c r="AF64" s="88">
        <f t="shared" si="142"/>
        <v>45882</v>
      </c>
      <c r="AG64" s="88">
        <f t="shared" si="143"/>
        <v>45882</v>
      </c>
      <c r="AH64" s="89">
        <f t="shared" ca="1" si="135"/>
        <v>0</v>
      </c>
      <c r="AI64" s="89" t="str">
        <f t="shared" ca="1" si="136"/>
        <v>NO PRAZO</v>
      </c>
      <c r="AJ64" s="88">
        <f t="shared" si="144"/>
        <v>45883</v>
      </c>
      <c r="AK64" s="88">
        <f>IF($C64="","",$C64+9)</f>
        <v>45883</v>
      </c>
      <c r="AL64" s="89">
        <f t="shared" ca="1" si="137"/>
        <v>0</v>
      </c>
      <c r="AM64" s="89" t="str">
        <f t="shared" ca="1" si="138"/>
        <v>NO PRAZO</v>
      </c>
      <c r="AN64" s="88">
        <f t="shared" si="145"/>
        <v>45884</v>
      </c>
      <c r="AO64" s="88">
        <f>IF($C64="","",$C64+10)</f>
        <v>45884</v>
      </c>
      <c r="AP64" s="89">
        <f t="shared" ca="1" si="139"/>
        <v>0</v>
      </c>
      <c r="AQ64" s="89" t="str">
        <f t="shared" ca="1" si="140"/>
        <v>NO PRAZO</v>
      </c>
      <c r="AR64" s="88"/>
      <c r="AS64" s="88"/>
      <c r="AT64" s="88"/>
      <c r="AU64" s="85" t="s">
        <v>257</v>
      </c>
      <c r="AV64" s="89" t="s">
        <v>101</v>
      </c>
      <c r="AW64" s="89"/>
    </row>
    <row r="65" spans="2:49" ht="39.6" x14ac:dyDescent="0.3">
      <c r="B65" s="69" t="str">
        <f>IF(Tabela1[[#This Row],[DATA]],PROPER(TEXT(Tabela1[[#This Row],[DATA]],"mmm")),"")</f>
        <v>Ago</v>
      </c>
      <c r="C65" s="88">
        <v>45880</v>
      </c>
      <c r="D65" s="88" t="str">
        <f t="shared" si="74"/>
        <v>Segunda</v>
      </c>
      <c r="E65" s="88"/>
      <c r="F65" s="67" t="str">
        <f t="shared" si="1"/>
        <v/>
      </c>
      <c r="G65" s="88" t="s">
        <v>396</v>
      </c>
      <c r="H65" s="4" t="s">
        <v>506</v>
      </c>
      <c r="I65" s="89" t="s">
        <v>115</v>
      </c>
      <c r="J65" s="89" t="s">
        <v>300</v>
      </c>
      <c r="K65" s="89"/>
      <c r="L65" s="90" t="s">
        <v>397</v>
      </c>
      <c r="M65" s="89" t="s">
        <v>287</v>
      </c>
      <c r="N65" s="4" t="s">
        <v>676</v>
      </c>
      <c r="O65" s="89" t="s">
        <v>303</v>
      </c>
      <c r="P65" s="89" t="s">
        <v>97</v>
      </c>
      <c r="Q65" s="89" t="s">
        <v>5</v>
      </c>
      <c r="R65" s="89" t="s">
        <v>29</v>
      </c>
      <c r="S65" s="89" t="s">
        <v>161</v>
      </c>
      <c r="T65" s="88">
        <f t="shared" si="126"/>
        <v>45880</v>
      </c>
      <c r="U65" s="88">
        <f>IF($C65="","",$C65)</f>
        <v>45880</v>
      </c>
      <c r="V65" s="89">
        <f t="shared" ca="1" si="127"/>
        <v>0</v>
      </c>
      <c r="W65" s="89" t="str">
        <f t="shared" ca="1" si="128"/>
        <v>NO PRAZO</v>
      </c>
      <c r="X65" s="88">
        <f t="shared" si="129"/>
        <v>45881</v>
      </c>
      <c r="Y65" s="88">
        <f>IF($C65="","",$C65+1)</f>
        <v>45881</v>
      </c>
      <c r="Z65" s="89">
        <f t="shared" ca="1" si="130"/>
        <v>0</v>
      </c>
      <c r="AA65" s="89" t="str">
        <f t="shared" ca="1" si="131"/>
        <v>NO PRAZO</v>
      </c>
      <c r="AB65" s="88">
        <f t="shared" si="132"/>
        <v>45881</v>
      </c>
      <c r="AC65" s="88">
        <f t="shared" si="141"/>
        <v>45881</v>
      </c>
      <c r="AD65" s="89">
        <f t="shared" ca="1" si="133"/>
        <v>0</v>
      </c>
      <c r="AE65" s="89" t="str">
        <f t="shared" ca="1" si="134"/>
        <v>NO PRAZO</v>
      </c>
      <c r="AF65" s="88">
        <f t="shared" si="142"/>
        <v>45888</v>
      </c>
      <c r="AG65" s="88">
        <f t="shared" si="143"/>
        <v>45888</v>
      </c>
      <c r="AH65" s="89">
        <f t="shared" ca="1" si="135"/>
        <v>0</v>
      </c>
      <c r="AI65" s="89" t="str">
        <f t="shared" ca="1" si="136"/>
        <v>NO PRAZO</v>
      </c>
      <c r="AJ65" s="88">
        <f t="shared" si="144"/>
        <v>45889</v>
      </c>
      <c r="AK65" s="88">
        <f>IF($C65="","",$C65+9)</f>
        <v>45889</v>
      </c>
      <c r="AL65" s="89">
        <f t="shared" ca="1" si="137"/>
        <v>0</v>
      </c>
      <c r="AM65" s="89" t="str">
        <f t="shared" ca="1" si="138"/>
        <v>NO PRAZO</v>
      </c>
      <c r="AN65" s="88">
        <f t="shared" si="145"/>
        <v>45890</v>
      </c>
      <c r="AO65" s="88">
        <f>IF($C65="","",$C65+10)</f>
        <v>45890</v>
      </c>
      <c r="AP65" s="89">
        <f t="shared" ca="1" si="139"/>
        <v>0</v>
      </c>
      <c r="AQ65" s="89" t="str">
        <f t="shared" ca="1" si="140"/>
        <v>NO PRAZO</v>
      </c>
      <c r="AR65" s="88"/>
      <c r="AS65" s="88"/>
      <c r="AT65" s="88"/>
      <c r="AU65" s="71" t="s">
        <v>601</v>
      </c>
      <c r="AV65" s="89" t="s">
        <v>101</v>
      </c>
      <c r="AW65" s="89" t="s">
        <v>101</v>
      </c>
    </row>
    <row r="66" spans="2:49" ht="52.8" x14ac:dyDescent="0.3">
      <c r="B66" s="69" t="str">
        <f>IF(Tabela1[[#This Row],[DATA]],PROPER(TEXT(Tabela1[[#This Row],[DATA]],"mmm")),"")</f>
        <v>Ago</v>
      </c>
      <c r="C66" s="88">
        <v>45890</v>
      </c>
      <c r="D66" s="88" t="str">
        <f t="shared" si="74"/>
        <v>Quinta</v>
      </c>
      <c r="E66" s="88"/>
      <c r="F66" s="67" t="str">
        <f t="shared" si="1"/>
        <v/>
      </c>
      <c r="G66" s="88" t="s">
        <v>398</v>
      </c>
      <c r="H66" s="4" t="s">
        <v>399</v>
      </c>
      <c r="I66" s="89" t="s">
        <v>24</v>
      </c>
      <c r="J66" s="89" t="s">
        <v>300</v>
      </c>
      <c r="K66" s="89"/>
      <c r="L66" s="90" t="s">
        <v>400</v>
      </c>
      <c r="M66" s="89" t="s">
        <v>401</v>
      </c>
      <c r="N66" s="4" t="s">
        <v>675</v>
      </c>
      <c r="O66" s="89" t="s">
        <v>118</v>
      </c>
      <c r="P66" s="89" t="s">
        <v>26</v>
      </c>
      <c r="Q66" s="89" t="s">
        <v>5</v>
      </c>
      <c r="R66" s="89" t="s">
        <v>29</v>
      </c>
      <c r="S66" s="89" t="s">
        <v>161</v>
      </c>
      <c r="T66" s="88">
        <f t="shared" ref="T66:T71" si="146">IF($C66="","",$C66)</f>
        <v>45890</v>
      </c>
      <c r="U66" s="88">
        <v>45890</v>
      </c>
      <c r="V66" s="89">
        <f t="shared" ref="V66:V71" ca="1" si="147">IF($C66="","",IF(U66="",TODAY()-T66,U66-T66))</f>
        <v>0</v>
      </c>
      <c r="W66" s="89" t="str">
        <f t="shared" ref="W66:W71" ca="1" si="148">IF($C66="","",IF(AND($C66&lt;&gt;"",U66=""),IF(T66=TODAY(),"VENCE HOJE",IF(T66&lt;TODAY(),"ATRASADO","NO PRAZO")),IF(U66&lt;=T66,"NO PRAZO","ATRASADO")))</f>
        <v>NO PRAZO</v>
      </c>
      <c r="X66" s="88">
        <f t="shared" ref="X66:X71" si="149">IF($C66="","",$C66+1)</f>
        <v>45891</v>
      </c>
      <c r="Y66" s="88">
        <v>45891</v>
      </c>
      <c r="Z66" s="89">
        <f t="shared" ref="Z66:Z71" ca="1" si="150">IF($C66="","",IF(Y66="",TODAY()-X66,Y66-X66))</f>
        <v>0</v>
      </c>
      <c r="AA66" s="89" t="str">
        <f t="shared" ref="AA66:AA71" ca="1" si="151">IF($C66="","",IF(AND($C66&lt;&gt;"",Y66=""),IF(X66=TODAY(),"VENCE HOJE",IF(X66&lt;TODAY(),"ATRASADO","NO PRAZO")),IF(Y66&lt;=X66,"NO PRAZO","ATRASADO")))</f>
        <v>NO PRAZO</v>
      </c>
      <c r="AB66" s="88">
        <f t="shared" ref="AB66:AB71" si="152">IF($C66="","",$C66+1)</f>
        <v>45891</v>
      </c>
      <c r="AC66" s="88">
        <f t="shared" si="141"/>
        <v>45891</v>
      </c>
      <c r="AD66" s="89">
        <f t="shared" ref="AD66:AD71" ca="1" si="153">IF($C66="","",IF(AC66="",TODAY()-AB66,AC66-AB66))</f>
        <v>0</v>
      </c>
      <c r="AE66" s="89" t="str">
        <f t="shared" ref="AE66:AE71" ca="1" si="154">IF($C66="","",IF(AND($C66&lt;&gt;"",AC66=""),IF(AB66=TODAY(),"VENCE HOJE",IF(AB66&lt;TODAY(),"ATRASADO","NO PRAZO")),IF(AC66&lt;=AB66,"NO PRAZO","ATRASADO")))</f>
        <v>NO PRAZO</v>
      </c>
      <c r="AF66" s="88">
        <f t="shared" si="142"/>
        <v>45898</v>
      </c>
      <c r="AG66" s="88">
        <f t="shared" si="143"/>
        <v>45898</v>
      </c>
      <c r="AH66" s="89">
        <f t="shared" ref="AH66:AH71" ca="1" si="155">IF($C66="","",IF(AG66="",TODAY()-AF66,AG66-AF66))</f>
        <v>0</v>
      </c>
      <c r="AI66" s="89" t="str">
        <f t="shared" ref="AI66:AI71" ca="1" si="156">IF($C66="","",IF(AND($C66&lt;&gt;"",AG66=""),IF(AF66=TODAY(),"VENCE HOJE",IF(AF66&lt;TODAY(),"ATRASADO","NO PRAZO")),IF(AG66&lt;=AF66,"NO PRAZO","ATRASADO")))</f>
        <v>NO PRAZO</v>
      </c>
      <c r="AJ66" s="88">
        <f t="shared" si="144"/>
        <v>45899</v>
      </c>
      <c r="AK66" s="88">
        <f t="shared" si="144"/>
        <v>45899</v>
      </c>
      <c r="AL66" s="89">
        <f t="shared" ref="AL66:AL71" ca="1" si="157">IF($C66="","",IF(AK66="",TODAY()-AJ66,AK66-AJ66))</f>
        <v>0</v>
      </c>
      <c r="AM66" s="89" t="str">
        <f t="shared" ref="AM66:AM71" ca="1" si="158">IF($C66="","",IF(AND($C66&lt;&gt;"",AK66=""),IF(AJ66=TODAY(),"VENCE HOJE",IF(AJ66&lt;TODAY(),"ATRASADO","NO PRAZO")),IF(AK66&lt;=AJ66,"NO PRAZO","ATRASADO")))</f>
        <v>NO PRAZO</v>
      </c>
      <c r="AN66" s="88">
        <f t="shared" si="145"/>
        <v>45900</v>
      </c>
      <c r="AO66" s="88">
        <f t="shared" si="145"/>
        <v>45900</v>
      </c>
      <c r="AP66" s="89">
        <f t="shared" ref="AP66:AP71" ca="1" si="159">IF($C66="","",IF(AO66="",TODAY()-AN66,AO66-AN66))</f>
        <v>0</v>
      </c>
      <c r="AQ66" s="89" t="str">
        <f t="shared" ref="AQ66:AQ71" ca="1" si="160">IF($C66="","",IF(AND($C66&lt;&gt;"",AO66=""),IF(AN66=TODAY(),"VENCE HOJE",IF(AN66&lt;TODAY(),"ATRASADO","NO PRAZO")),IF(AO66&lt;=AN66,"NO PRAZO","ATRASADO")))</f>
        <v>NO PRAZO</v>
      </c>
      <c r="AR66" s="88"/>
      <c r="AS66" s="88"/>
      <c r="AT66" s="88"/>
      <c r="AU66" s="71" t="s">
        <v>601</v>
      </c>
      <c r="AV66" s="89" t="s">
        <v>101</v>
      </c>
      <c r="AW66" s="89" t="s">
        <v>87</v>
      </c>
    </row>
    <row r="67" spans="2:49" ht="26.4" x14ac:dyDescent="0.3">
      <c r="B67" s="69" t="str">
        <f>IF(Tabela1[[#This Row],[DATA]],PROPER(TEXT(Tabela1[[#This Row],[DATA]],"mmm")),"")</f>
        <v>Ago</v>
      </c>
      <c r="C67" s="88">
        <v>45898</v>
      </c>
      <c r="D67" s="88" t="str">
        <f t="shared" si="74"/>
        <v>Sexta</v>
      </c>
      <c r="E67" s="88"/>
      <c r="F67" s="67" t="str">
        <f t="shared" si="1"/>
        <v/>
      </c>
      <c r="G67" s="88" t="s">
        <v>402</v>
      </c>
      <c r="H67" s="4" t="s">
        <v>507</v>
      </c>
      <c r="I67" s="89" t="s">
        <v>115</v>
      </c>
      <c r="J67" s="89" t="s">
        <v>300</v>
      </c>
      <c r="K67" s="89"/>
      <c r="L67" s="90" t="s">
        <v>403</v>
      </c>
      <c r="M67" s="89" t="s">
        <v>287</v>
      </c>
      <c r="N67" s="4" t="s">
        <v>676</v>
      </c>
      <c r="O67" s="89" t="s">
        <v>404</v>
      </c>
      <c r="P67" s="89" t="s">
        <v>97</v>
      </c>
      <c r="Q67" s="89" t="s">
        <v>5</v>
      </c>
      <c r="R67" s="89" t="s">
        <v>29</v>
      </c>
      <c r="S67" s="89" t="s">
        <v>161</v>
      </c>
      <c r="T67" s="88">
        <f t="shared" si="146"/>
        <v>45898</v>
      </c>
      <c r="U67" s="88">
        <f t="shared" ref="U67:U72" si="161">IF($C67="","",$C67)</f>
        <v>45898</v>
      </c>
      <c r="V67" s="89">
        <f t="shared" ca="1" si="147"/>
        <v>0</v>
      </c>
      <c r="W67" s="89" t="str">
        <f t="shared" ca="1" si="148"/>
        <v>NO PRAZO</v>
      </c>
      <c r="X67" s="88">
        <f t="shared" si="149"/>
        <v>45899</v>
      </c>
      <c r="Y67" s="88">
        <f t="shared" ref="Y67:Y72" si="162">IF($C67="","",$C67+1)</f>
        <v>45899</v>
      </c>
      <c r="Z67" s="89">
        <f t="shared" ca="1" si="150"/>
        <v>0</v>
      </c>
      <c r="AA67" s="89" t="str">
        <f t="shared" ca="1" si="151"/>
        <v>NO PRAZO</v>
      </c>
      <c r="AB67" s="88">
        <f t="shared" si="152"/>
        <v>45899</v>
      </c>
      <c r="AC67" s="88">
        <f t="shared" si="141"/>
        <v>45899</v>
      </c>
      <c r="AD67" s="89">
        <f t="shared" ca="1" si="153"/>
        <v>0</v>
      </c>
      <c r="AE67" s="89" t="str">
        <f t="shared" ca="1" si="154"/>
        <v>NO PRAZO</v>
      </c>
      <c r="AF67" s="88">
        <f t="shared" ref="AF67:AG72" si="163">IF($C67="","",$C67+8)</f>
        <v>45906</v>
      </c>
      <c r="AG67" s="88">
        <f t="shared" si="143"/>
        <v>45906</v>
      </c>
      <c r="AH67" s="89">
        <f t="shared" ca="1" si="155"/>
        <v>0</v>
      </c>
      <c r="AI67" s="89" t="str">
        <f t="shared" ca="1" si="156"/>
        <v>NO PRAZO</v>
      </c>
      <c r="AJ67" s="88">
        <f t="shared" ref="AJ67:AK70" si="164">IF($C67="","",$C67+9)</f>
        <v>45907</v>
      </c>
      <c r="AK67" s="88">
        <f t="shared" si="164"/>
        <v>45907</v>
      </c>
      <c r="AL67" s="89">
        <f t="shared" ca="1" si="157"/>
        <v>0</v>
      </c>
      <c r="AM67" s="89" t="str">
        <f t="shared" ca="1" si="158"/>
        <v>NO PRAZO</v>
      </c>
      <c r="AN67" s="88">
        <f t="shared" ref="AN67:AO70" si="165">IF($C67="","",$C67+10)</f>
        <v>45908</v>
      </c>
      <c r="AO67" s="88">
        <f t="shared" si="165"/>
        <v>45908</v>
      </c>
      <c r="AP67" s="89">
        <f t="shared" ca="1" si="159"/>
        <v>0</v>
      </c>
      <c r="AQ67" s="89" t="str">
        <f t="shared" ca="1" si="160"/>
        <v>NO PRAZO</v>
      </c>
      <c r="AR67" s="88"/>
      <c r="AS67" s="88"/>
      <c r="AT67" s="88"/>
      <c r="AU67" s="71" t="s">
        <v>601</v>
      </c>
      <c r="AV67" s="89" t="s">
        <v>101</v>
      </c>
      <c r="AW67" s="89" t="s">
        <v>87</v>
      </c>
    </row>
    <row r="68" spans="2:49" ht="52.8" x14ac:dyDescent="0.3">
      <c r="B68" s="69" t="str">
        <f>IF(Tabela1[[#This Row],[DATA]],PROPER(TEXT(Tabela1[[#This Row],[DATA]],"mmm")),"")</f>
        <v>Ago</v>
      </c>
      <c r="C68" s="88">
        <v>45898</v>
      </c>
      <c r="D68" s="88" t="str">
        <f t="shared" si="74"/>
        <v>Sexta</v>
      </c>
      <c r="E68" s="88"/>
      <c r="F68" s="67" t="str">
        <f t="shared" si="1"/>
        <v/>
      </c>
      <c r="G68" s="88" t="s">
        <v>405</v>
      </c>
      <c r="H68" s="4" t="s">
        <v>466</v>
      </c>
      <c r="I68" s="89" t="s">
        <v>24</v>
      </c>
      <c r="J68" s="89" t="s">
        <v>300</v>
      </c>
      <c r="K68" s="89"/>
      <c r="L68" s="90" t="s">
        <v>406</v>
      </c>
      <c r="M68" s="89" t="s">
        <v>335</v>
      </c>
      <c r="N68" s="4" t="s">
        <v>676</v>
      </c>
      <c r="O68" s="89" t="s">
        <v>96</v>
      </c>
      <c r="P68" s="89" t="s">
        <v>97</v>
      </c>
      <c r="Q68" s="89" t="s">
        <v>5</v>
      </c>
      <c r="R68" s="89" t="s">
        <v>29</v>
      </c>
      <c r="S68" s="89" t="s">
        <v>161</v>
      </c>
      <c r="T68" s="88">
        <f t="shared" si="146"/>
        <v>45898</v>
      </c>
      <c r="U68" s="88">
        <f t="shared" si="161"/>
        <v>45898</v>
      </c>
      <c r="V68" s="89">
        <f t="shared" ca="1" si="147"/>
        <v>0</v>
      </c>
      <c r="W68" s="89" t="str">
        <f t="shared" ca="1" si="148"/>
        <v>NO PRAZO</v>
      </c>
      <c r="X68" s="88">
        <f t="shared" si="149"/>
        <v>45899</v>
      </c>
      <c r="Y68" s="88">
        <f t="shared" si="162"/>
        <v>45899</v>
      </c>
      <c r="Z68" s="89">
        <f t="shared" ca="1" si="150"/>
        <v>0</v>
      </c>
      <c r="AA68" s="89" t="str">
        <f t="shared" ca="1" si="151"/>
        <v>NO PRAZO</v>
      </c>
      <c r="AB68" s="88">
        <f t="shared" si="152"/>
        <v>45899</v>
      </c>
      <c r="AC68" s="88">
        <f t="shared" si="141"/>
        <v>45899</v>
      </c>
      <c r="AD68" s="89">
        <f t="shared" ca="1" si="153"/>
        <v>0</v>
      </c>
      <c r="AE68" s="89" t="str">
        <f t="shared" ca="1" si="154"/>
        <v>NO PRAZO</v>
      </c>
      <c r="AF68" s="88">
        <f t="shared" si="163"/>
        <v>45906</v>
      </c>
      <c r="AG68" s="88">
        <f t="shared" si="143"/>
        <v>45906</v>
      </c>
      <c r="AH68" s="89">
        <f t="shared" ca="1" si="155"/>
        <v>0</v>
      </c>
      <c r="AI68" s="89" t="str">
        <f t="shared" ca="1" si="156"/>
        <v>NO PRAZO</v>
      </c>
      <c r="AJ68" s="88">
        <f t="shared" si="164"/>
        <v>45907</v>
      </c>
      <c r="AK68" s="88">
        <f t="shared" si="164"/>
        <v>45907</v>
      </c>
      <c r="AL68" s="89">
        <f t="shared" ca="1" si="157"/>
        <v>0</v>
      </c>
      <c r="AM68" s="89" t="str">
        <f t="shared" ca="1" si="158"/>
        <v>NO PRAZO</v>
      </c>
      <c r="AN68" s="88">
        <f t="shared" si="165"/>
        <v>45908</v>
      </c>
      <c r="AO68" s="88">
        <f t="shared" si="165"/>
        <v>45908</v>
      </c>
      <c r="AP68" s="89">
        <f t="shared" ca="1" si="159"/>
        <v>0</v>
      </c>
      <c r="AQ68" s="89" t="str">
        <f t="shared" ca="1" si="160"/>
        <v>NO PRAZO</v>
      </c>
      <c r="AR68" s="88"/>
      <c r="AS68" s="88"/>
      <c r="AT68" s="88"/>
      <c r="AU68" s="71" t="s">
        <v>601</v>
      </c>
      <c r="AV68" s="89" t="s">
        <v>101</v>
      </c>
      <c r="AW68" s="89" t="s">
        <v>87</v>
      </c>
    </row>
    <row r="69" spans="2:49" ht="66" x14ac:dyDescent="0.3">
      <c r="B69" s="69" t="str">
        <f>IF(Tabela1[[#This Row],[DATA]],PROPER(TEXT(Tabela1[[#This Row],[DATA]],"mmm")),"")</f>
        <v>Set</v>
      </c>
      <c r="C69" s="88">
        <v>45901</v>
      </c>
      <c r="D69" s="88" t="str">
        <f t="shared" si="74"/>
        <v>Segunda</v>
      </c>
      <c r="E69" s="88"/>
      <c r="F69" s="67" t="str">
        <f t="shared" si="1"/>
        <v/>
      </c>
      <c r="G69" s="88" t="s">
        <v>407</v>
      </c>
      <c r="H69" s="4" t="s">
        <v>497</v>
      </c>
      <c r="I69" s="89" t="s">
        <v>84</v>
      </c>
      <c r="J69" s="41" t="s">
        <v>450</v>
      </c>
      <c r="K69" s="41"/>
      <c r="L69" s="90" t="s">
        <v>408</v>
      </c>
      <c r="M69" s="89" t="s">
        <v>361</v>
      </c>
      <c r="N69" s="4" t="s">
        <v>675</v>
      </c>
      <c r="O69" s="89" t="s">
        <v>118</v>
      </c>
      <c r="P69" s="89" t="s">
        <v>309</v>
      </c>
      <c r="Q69" s="89" t="s">
        <v>5</v>
      </c>
      <c r="R69" s="89" t="s">
        <v>29</v>
      </c>
      <c r="S69" s="89" t="s">
        <v>161</v>
      </c>
      <c r="T69" s="88">
        <f t="shared" si="146"/>
        <v>45901</v>
      </c>
      <c r="U69" s="88">
        <f t="shared" si="161"/>
        <v>45901</v>
      </c>
      <c r="V69" s="89">
        <f t="shared" ca="1" si="147"/>
        <v>0</v>
      </c>
      <c r="W69" s="89" t="str">
        <f t="shared" ca="1" si="148"/>
        <v>NO PRAZO</v>
      </c>
      <c r="X69" s="88">
        <f t="shared" si="149"/>
        <v>45902</v>
      </c>
      <c r="Y69" s="88">
        <f t="shared" si="162"/>
        <v>45902</v>
      </c>
      <c r="Z69" s="89">
        <f t="shared" ca="1" si="150"/>
        <v>0</v>
      </c>
      <c r="AA69" s="89" t="str">
        <f t="shared" ca="1" si="151"/>
        <v>NO PRAZO</v>
      </c>
      <c r="AB69" s="88">
        <f t="shared" si="152"/>
        <v>45902</v>
      </c>
      <c r="AC69" s="88">
        <f t="shared" ref="AC69:AC74" si="166">IF($C69="","",$C69+1)</f>
        <v>45902</v>
      </c>
      <c r="AD69" s="89">
        <f t="shared" ca="1" si="153"/>
        <v>0</v>
      </c>
      <c r="AE69" s="89" t="str">
        <f t="shared" ca="1" si="154"/>
        <v>NO PRAZO</v>
      </c>
      <c r="AF69" s="88">
        <f t="shared" si="163"/>
        <v>45909</v>
      </c>
      <c r="AG69" s="88">
        <f>IF($C69="","",$C69+8)</f>
        <v>45909</v>
      </c>
      <c r="AH69" s="89">
        <f t="shared" ca="1" si="155"/>
        <v>0</v>
      </c>
      <c r="AI69" s="89" t="str">
        <f t="shared" ca="1" si="156"/>
        <v>NO PRAZO</v>
      </c>
      <c r="AJ69" s="88">
        <f t="shared" si="164"/>
        <v>45910</v>
      </c>
      <c r="AK69" s="88">
        <f t="shared" si="164"/>
        <v>45910</v>
      </c>
      <c r="AL69" s="89">
        <f t="shared" ca="1" si="157"/>
        <v>0</v>
      </c>
      <c r="AM69" s="89" t="str">
        <f t="shared" ca="1" si="158"/>
        <v>NO PRAZO</v>
      </c>
      <c r="AN69" s="88">
        <f t="shared" si="165"/>
        <v>45911</v>
      </c>
      <c r="AO69" s="88">
        <f t="shared" si="165"/>
        <v>45911</v>
      </c>
      <c r="AP69" s="89">
        <f t="shared" ca="1" si="159"/>
        <v>0</v>
      </c>
      <c r="AQ69" s="89" t="str">
        <f t="shared" ca="1" si="160"/>
        <v>NO PRAZO</v>
      </c>
      <c r="AR69" s="88"/>
      <c r="AS69" s="88"/>
      <c r="AT69" s="88"/>
      <c r="AU69" s="71" t="s">
        <v>601</v>
      </c>
      <c r="AV69" s="89" t="s">
        <v>101</v>
      </c>
      <c r="AW69" s="89" t="s">
        <v>87</v>
      </c>
    </row>
    <row r="70" spans="2:49" ht="26.4" x14ac:dyDescent="0.3">
      <c r="B70" s="69" t="str">
        <f>IF(Tabela1[[#This Row],[DATA]],PROPER(TEXT(Tabela1[[#This Row],[DATA]],"mmm")),"")</f>
        <v>Set</v>
      </c>
      <c r="C70" s="88">
        <v>45902</v>
      </c>
      <c r="D70" s="88" t="str">
        <f t="shared" si="74"/>
        <v>Terça</v>
      </c>
      <c r="E70" s="88"/>
      <c r="F70" s="67" t="str">
        <f t="shared" si="1"/>
        <v/>
      </c>
      <c r="G70" s="88" t="s">
        <v>409</v>
      </c>
      <c r="H70" s="4" t="s">
        <v>498</v>
      </c>
      <c r="I70" s="89" t="s">
        <v>84</v>
      </c>
      <c r="J70" s="89" t="s">
        <v>300</v>
      </c>
      <c r="K70" s="89"/>
      <c r="L70" s="90" t="s">
        <v>410</v>
      </c>
      <c r="M70" s="89" t="s">
        <v>305</v>
      </c>
      <c r="N70" s="4" t="s">
        <v>676</v>
      </c>
      <c r="O70" s="89" t="s">
        <v>411</v>
      </c>
      <c r="P70" s="89" t="s">
        <v>26</v>
      </c>
      <c r="Q70" s="89" t="s">
        <v>5</v>
      </c>
      <c r="R70" s="89" t="s">
        <v>29</v>
      </c>
      <c r="S70" s="89" t="s">
        <v>161</v>
      </c>
      <c r="T70" s="88">
        <f t="shared" si="146"/>
        <v>45902</v>
      </c>
      <c r="U70" s="88">
        <f t="shared" si="161"/>
        <v>45902</v>
      </c>
      <c r="V70" s="89">
        <f t="shared" ca="1" si="147"/>
        <v>0</v>
      </c>
      <c r="W70" s="89" t="str">
        <f t="shared" ca="1" si="148"/>
        <v>NO PRAZO</v>
      </c>
      <c r="X70" s="88">
        <f t="shared" si="149"/>
        <v>45903</v>
      </c>
      <c r="Y70" s="88">
        <f t="shared" si="162"/>
        <v>45903</v>
      </c>
      <c r="Z70" s="89">
        <f t="shared" ca="1" si="150"/>
        <v>0</v>
      </c>
      <c r="AA70" s="89" t="str">
        <f t="shared" ca="1" si="151"/>
        <v>NO PRAZO</v>
      </c>
      <c r="AB70" s="88">
        <f t="shared" si="152"/>
        <v>45903</v>
      </c>
      <c r="AC70" s="88">
        <f t="shared" si="166"/>
        <v>45903</v>
      </c>
      <c r="AD70" s="89">
        <f t="shared" ca="1" si="153"/>
        <v>0</v>
      </c>
      <c r="AE70" s="89" t="str">
        <f t="shared" ca="1" si="154"/>
        <v>NO PRAZO</v>
      </c>
      <c r="AF70" s="88">
        <f t="shared" si="163"/>
        <v>45910</v>
      </c>
      <c r="AG70" s="88">
        <f>IF($C70="","",$C70+8)</f>
        <v>45910</v>
      </c>
      <c r="AH70" s="89">
        <f t="shared" ca="1" si="155"/>
        <v>0</v>
      </c>
      <c r="AI70" s="89" t="str">
        <f t="shared" ca="1" si="156"/>
        <v>NO PRAZO</v>
      </c>
      <c r="AJ70" s="88">
        <f t="shared" si="164"/>
        <v>45911</v>
      </c>
      <c r="AK70" s="88">
        <f t="shared" si="164"/>
        <v>45911</v>
      </c>
      <c r="AL70" s="89">
        <f t="shared" ca="1" si="157"/>
        <v>0</v>
      </c>
      <c r="AM70" s="89" t="str">
        <f t="shared" ca="1" si="158"/>
        <v>NO PRAZO</v>
      </c>
      <c r="AN70" s="88">
        <f t="shared" si="165"/>
        <v>45912</v>
      </c>
      <c r="AO70" s="88">
        <f t="shared" si="165"/>
        <v>45912</v>
      </c>
      <c r="AP70" s="89">
        <f t="shared" ca="1" si="159"/>
        <v>0</v>
      </c>
      <c r="AQ70" s="89" t="str">
        <f t="shared" ca="1" si="160"/>
        <v>NO PRAZO</v>
      </c>
      <c r="AR70" s="88"/>
      <c r="AS70" s="88"/>
      <c r="AT70" s="88"/>
      <c r="AU70" s="71" t="s">
        <v>601</v>
      </c>
      <c r="AV70" s="89" t="s">
        <v>101</v>
      </c>
      <c r="AW70" s="89" t="s">
        <v>87</v>
      </c>
    </row>
    <row r="71" spans="2:49" ht="39.6" x14ac:dyDescent="0.3">
      <c r="B71" s="69" t="str">
        <f>IF(Tabela1[[#This Row],[DATA]],PROPER(TEXT(Tabela1[[#This Row],[DATA]],"mmm")),"")</f>
        <v>Set</v>
      </c>
      <c r="C71" s="88">
        <v>45913</v>
      </c>
      <c r="D71" s="88" t="str">
        <f t="shared" si="74"/>
        <v>Sábado</v>
      </c>
      <c r="E71" s="88"/>
      <c r="F71" s="67" t="str">
        <f t="shared" si="1"/>
        <v/>
      </c>
      <c r="G71" s="88" t="s">
        <v>413</v>
      </c>
      <c r="H71" s="4" t="s">
        <v>467</v>
      </c>
      <c r="I71" s="89" t="s">
        <v>24</v>
      </c>
      <c r="J71" s="89" t="s">
        <v>300</v>
      </c>
      <c r="K71" s="89"/>
      <c r="L71" s="90" t="s">
        <v>412</v>
      </c>
      <c r="M71" s="89"/>
      <c r="N71" s="4" t="s">
        <v>676</v>
      </c>
      <c r="O71" s="89" t="s">
        <v>299</v>
      </c>
      <c r="P71" s="89" t="s">
        <v>104</v>
      </c>
      <c r="Q71" s="89" t="s">
        <v>5</v>
      </c>
      <c r="R71" s="89" t="s">
        <v>29</v>
      </c>
      <c r="S71" s="89" t="s">
        <v>161</v>
      </c>
      <c r="T71" s="88">
        <f t="shared" si="146"/>
        <v>45913</v>
      </c>
      <c r="U71" s="88">
        <f t="shared" si="161"/>
        <v>45913</v>
      </c>
      <c r="V71" s="89">
        <f t="shared" ca="1" si="147"/>
        <v>0</v>
      </c>
      <c r="W71" s="89" t="str">
        <f t="shared" ca="1" si="148"/>
        <v>NO PRAZO</v>
      </c>
      <c r="X71" s="88">
        <f t="shared" si="149"/>
        <v>45914</v>
      </c>
      <c r="Y71" s="88">
        <f t="shared" si="162"/>
        <v>45914</v>
      </c>
      <c r="Z71" s="89">
        <f t="shared" ca="1" si="150"/>
        <v>0</v>
      </c>
      <c r="AA71" s="89" t="str">
        <f t="shared" ca="1" si="151"/>
        <v>NO PRAZO</v>
      </c>
      <c r="AB71" s="88">
        <f t="shared" si="152"/>
        <v>45914</v>
      </c>
      <c r="AC71" s="88">
        <f t="shared" si="166"/>
        <v>45914</v>
      </c>
      <c r="AD71" s="89">
        <f t="shared" ca="1" si="153"/>
        <v>0</v>
      </c>
      <c r="AE71" s="89" t="str">
        <f t="shared" ca="1" si="154"/>
        <v>NO PRAZO</v>
      </c>
      <c r="AF71" s="88">
        <f t="shared" si="163"/>
        <v>45921</v>
      </c>
      <c r="AG71" s="88">
        <f>IF($C71="","",$C71+8)</f>
        <v>45921</v>
      </c>
      <c r="AH71" s="89">
        <f t="shared" ca="1" si="155"/>
        <v>0</v>
      </c>
      <c r="AI71" s="89" t="str">
        <f t="shared" ca="1" si="156"/>
        <v>NO PRAZO</v>
      </c>
      <c r="AJ71" s="88">
        <f t="shared" ref="AJ71:AK73" si="167">IF($C71="","",$C71+9)</f>
        <v>45922</v>
      </c>
      <c r="AK71" s="88">
        <f t="shared" si="167"/>
        <v>45922</v>
      </c>
      <c r="AL71" s="89">
        <f t="shared" ca="1" si="157"/>
        <v>0</v>
      </c>
      <c r="AM71" s="89" t="str">
        <f t="shared" ca="1" si="158"/>
        <v>NO PRAZO</v>
      </c>
      <c r="AN71" s="88">
        <f t="shared" ref="AN71:AO73" si="168">IF($C71="","",$C71+10)</f>
        <v>45923</v>
      </c>
      <c r="AO71" s="88">
        <f t="shared" si="168"/>
        <v>45923</v>
      </c>
      <c r="AP71" s="89">
        <f t="shared" ca="1" si="159"/>
        <v>0</v>
      </c>
      <c r="AQ71" s="89" t="str">
        <f t="shared" ca="1" si="160"/>
        <v>NO PRAZO</v>
      </c>
      <c r="AR71" s="88"/>
      <c r="AS71" s="88"/>
      <c r="AT71" s="88"/>
      <c r="AU71" s="71" t="s">
        <v>601</v>
      </c>
      <c r="AV71" s="89" t="s">
        <v>101</v>
      </c>
      <c r="AW71" s="89" t="s">
        <v>87</v>
      </c>
    </row>
    <row r="72" spans="2:49" ht="26.4" x14ac:dyDescent="0.3">
      <c r="B72" s="69" t="str">
        <f>IF(Tabela1[[#This Row],[DATA]],PROPER(TEXT(Tabela1[[#This Row],[DATA]],"mmm")),"")</f>
        <v>Set</v>
      </c>
      <c r="C72" s="88">
        <v>45918</v>
      </c>
      <c r="D72" s="88" t="str">
        <f t="shared" si="74"/>
        <v>Quinta</v>
      </c>
      <c r="E72" s="88"/>
      <c r="F72" s="67" t="str">
        <f t="shared" si="1"/>
        <v/>
      </c>
      <c r="G72" s="88" t="s">
        <v>414</v>
      </c>
      <c r="H72" s="4" t="s">
        <v>499</v>
      </c>
      <c r="I72" s="41" t="s">
        <v>84</v>
      </c>
      <c r="J72" s="89" t="s">
        <v>212</v>
      </c>
      <c r="K72" s="89"/>
      <c r="L72" s="90" t="s">
        <v>415</v>
      </c>
      <c r="M72" s="89" t="s">
        <v>178</v>
      </c>
      <c r="N72" s="4" t="s">
        <v>675</v>
      </c>
      <c r="O72" s="89" t="s">
        <v>255</v>
      </c>
      <c r="P72" s="89" t="s">
        <v>93</v>
      </c>
      <c r="Q72" s="89" t="s">
        <v>5</v>
      </c>
      <c r="R72" s="89" t="s">
        <v>29</v>
      </c>
      <c r="S72" s="89" t="s">
        <v>161</v>
      </c>
      <c r="T72" s="88">
        <f t="shared" ref="T72:T77" si="169">IF($C72="","",$C72)</f>
        <v>45918</v>
      </c>
      <c r="U72" s="88">
        <f t="shared" si="161"/>
        <v>45918</v>
      </c>
      <c r="V72" s="89">
        <f t="shared" ref="V72:V77" ca="1" si="170">IF($C72="","",IF(U72="",TODAY()-T72,U72-T72))</f>
        <v>0</v>
      </c>
      <c r="W72" s="89" t="str">
        <f t="shared" ref="W72:W77" ca="1" si="171">IF($C72="","",IF(AND($C72&lt;&gt;"",U72=""),IF(T72=TODAY(),"VENCE HOJE",IF(T72&lt;TODAY(),"ATRASADO","NO PRAZO")),IF(U72&lt;=T72,"NO PRAZO","ATRASADO")))</f>
        <v>NO PRAZO</v>
      </c>
      <c r="X72" s="88">
        <f t="shared" ref="X72:X77" si="172">IF($C72="","",$C72+1)</f>
        <v>45919</v>
      </c>
      <c r="Y72" s="88">
        <f t="shared" si="162"/>
        <v>45919</v>
      </c>
      <c r="Z72" s="89">
        <f t="shared" ref="Z72:Z77" ca="1" si="173">IF($C72="","",IF(Y72="",TODAY()-X72,Y72-X72))</f>
        <v>0</v>
      </c>
      <c r="AA72" s="89" t="str">
        <f t="shared" ref="AA72:AA77" ca="1" si="174">IF($C72="","",IF(AND($C72&lt;&gt;"",Y72=""),IF(X72=TODAY(),"VENCE HOJE",IF(X72&lt;TODAY(),"ATRASADO","NO PRAZO")),IF(Y72&lt;=X72,"NO PRAZO","ATRASADO")))</f>
        <v>NO PRAZO</v>
      </c>
      <c r="AB72" s="88">
        <f t="shared" ref="AB72:AB77" si="175">IF($C72="","",$C72+1)</f>
        <v>45919</v>
      </c>
      <c r="AC72" s="88">
        <f t="shared" si="166"/>
        <v>45919</v>
      </c>
      <c r="AD72" s="89">
        <f t="shared" ref="AD72:AD77" ca="1" si="176">IF($C72="","",IF(AC72="",TODAY()-AB72,AC72-AB72))</f>
        <v>0</v>
      </c>
      <c r="AE72" s="89" t="str">
        <f t="shared" ref="AE72:AE77" ca="1" si="177">IF($C72="","",IF(AND($C72&lt;&gt;"",AC72=""),IF(AB72=TODAY(),"VENCE HOJE",IF(AB72&lt;TODAY(),"ATRASADO","NO PRAZO")),IF(AC72&lt;=AB72,"NO PRAZO","ATRASADO")))</f>
        <v>NO PRAZO</v>
      </c>
      <c r="AF72" s="88">
        <f t="shared" si="163"/>
        <v>45926</v>
      </c>
      <c r="AG72" s="88">
        <f t="shared" si="163"/>
        <v>45926</v>
      </c>
      <c r="AH72" s="89">
        <f t="shared" ref="AH72:AH77" ca="1" si="178">IF($C72="","",IF(AG72="",TODAY()-AF72,AG72-AF72))</f>
        <v>0</v>
      </c>
      <c r="AI72" s="89" t="str">
        <f t="shared" ref="AI72:AI77" ca="1" si="179">IF($C72="","",IF(AND($C72&lt;&gt;"",AG72=""),IF(AF72=TODAY(),"VENCE HOJE",IF(AF72&lt;TODAY(),"ATRASADO","NO PRAZO")),IF(AG72&lt;=AF72,"NO PRAZO","ATRASADO")))</f>
        <v>NO PRAZO</v>
      </c>
      <c r="AJ72" s="88">
        <f t="shared" si="167"/>
        <v>45927</v>
      </c>
      <c r="AK72" s="88">
        <f t="shared" si="167"/>
        <v>45927</v>
      </c>
      <c r="AL72" s="89">
        <f t="shared" ref="AL72:AL77" ca="1" si="180">IF($C72="","",IF(AK72="",TODAY()-AJ72,AK72-AJ72))</f>
        <v>0</v>
      </c>
      <c r="AM72" s="89" t="str">
        <f t="shared" ref="AM72:AM77" ca="1" si="181">IF($C72="","",IF(AND($C72&lt;&gt;"",AK72=""),IF(AJ72=TODAY(),"VENCE HOJE",IF(AJ72&lt;TODAY(),"ATRASADO","NO PRAZO")),IF(AK72&lt;=AJ72,"NO PRAZO","ATRASADO")))</f>
        <v>NO PRAZO</v>
      </c>
      <c r="AN72" s="88">
        <f t="shared" si="168"/>
        <v>45928</v>
      </c>
      <c r="AO72" s="88">
        <f t="shared" si="168"/>
        <v>45928</v>
      </c>
      <c r="AP72" s="89">
        <f t="shared" ref="AP72:AP77" ca="1" si="182">IF($C72="","",IF(AO72="",TODAY()-AN72,AO72-AN72))</f>
        <v>0</v>
      </c>
      <c r="AQ72" s="89" t="str">
        <f t="shared" ref="AQ72:AQ77" ca="1" si="183">IF($C72="","",IF(AND($C72&lt;&gt;"",AO72=""),IF(AN72=TODAY(),"VENCE HOJE",IF(AN72&lt;TODAY(),"ATRASADO","NO PRAZO")),IF(AO72&lt;=AN72,"NO PRAZO","ATRASADO")))</f>
        <v>NO PRAZO</v>
      </c>
      <c r="AR72" s="88"/>
      <c r="AS72" s="88"/>
      <c r="AT72" s="88"/>
      <c r="AU72" s="85" t="str">
        <f>IF(Tabela1[[#This Row],[Nº DA CAT]]="NA","INCIDENTE","ACIDENTE")</f>
        <v>INCIDENTE</v>
      </c>
      <c r="AV72" s="89" t="s">
        <v>101</v>
      </c>
      <c r="AW72" s="89"/>
    </row>
    <row r="73" spans="2:49" ht="39.6" x14ac:dyDescent="0.3">
      <c r="B73" s="69" t="str">
        <f>IF(Tabela1[[#This Row],[DATA]],PROPER(TEXT(Tabela1[[#This Row],[DATA]],"mmm")),"")</f>
        <v>Out</v>
      </c>
      <c r="C73" s="88">
        <v>45931</v>
      </c>
      <c r="D73" s="88" t="str">
        <f t="shared" si="74"/>
        <v>Quarta</v>
      </c>
      <c r="E73" s="88"/>
      <c r="F73" s="67" t="str">
        <f t="shared" si="1"/>
        <v/>
      </c>
      <c r="G73" s="88" t="s">
        <v>417</v>
      </c>
      <c r="H73" s="4" t="s">
        <v>551</v>
      </c>
      <c r="I73" s="89" t="s">
        <v>84</v>
      </c>
      <c r="J73" s="89" t="s">
        <v>261</v>
      </c>
      <c r="K73" s="89"/>
      <c r="L73" s="90" t="s">
        <v>416</v>
      </c>
      <c r="M73" s="89" t="s">
        <v>202</v>
      </c>
      <c r="N73" s="4" t="s">
        <v>675</v>
      </c>
      <c r="O73" s="89" t="s">
        <v>418</v>
      </c>
      <c r="P73" s="89" t="s">
        <v>79</v>
      </c>
      <c r="Q73" s="89" t="s">
        <v>5</v>
      </c>
      <c r="R73" s="89" t="s">
        <v>29</v>
      </c>
      <c r="S73" s="89"/>
      <c r="T73" s="88">
        <f t="shared" si="169"/>
        <v>45931</v>
      </c>
      <c r="U73" s="88">
        <f t="shared" ref="U73:U79" si="184">IF($C73="","",$C73)</f>
        <v>45931</v>
      </c>
      <c r="V73" s="89">
        <f t="shared" ca="1" si="170"/>
        <v>0</v>
      </c>
      <c r="W73" s="89" t="str">
        <f t="shared" ca="1" si="171"/>
        <v>NO PRAZO</v>
      </c>
      <c r="X73" s="88">
        <f t="shared" si="172"/>
        <v>45932</v>
      </c>
      <c r="Y73" s="88">
        <f t="shared" ref="Y73:Y79" si="185">IF($C73="","",$C73+1)</f>
        <v>45932</v>
      </c>
      <c r="Z73" s="89">
        <f t="shared" ca="1" si="173"/>
        <v>0</v>
      </c>
      <c r="AA73" s="89" t="str">
        <f t="shared" ca="1" si="174"/>
        <v>NO PRAZO</v>
      </c>
      <c r="AB73" s="88">
        <f t="shared" si="175"/>
        <v>45932</v>
      </c>
      <c r="AC73" s="88">
        <f t="shared" si="166"/>
        <v>45932</v>
      </c>
      <c r="AD73" s="89">
        <f t="shared" ca="1" si="176"/>
        <v>0</v>
      </c>
      <c r="AE73" s="89" t="str">
        <f t="shared" ca="1" si="177"/>
        <v>NO PRAZO</v>
      </c>
      <c r="AF73" s="88">
        <f t="shared" ref="AF73:AG77" si="186">IF($C73="","",$C73+8)</f>
        <v>45939</v>
      </c>
      <c r="AG73" s="88">
        <f t="shared" si="186"/>
        <v>45939</v>
      </c>
      <c r="AH73" s="89">
        <f t="shared" ca="1" si="178"/>
        <v>0</v>
      </c>
      <c r="AI73" s="89" t="str">
        <f t="shared" ca="1" si="179"/>
        <v>NO PRAZO</v>
      </c>
      <c r="AJ73" s="88">
        <f t="shared" si="167"/>
        <v>45940</v>
      </c>
      <c r="AK73" s="88">
        <f t="shared" si="167"/>
        <v>45940</v>
      </c>
      <c r="AL73" s="89">
        <f t="shared" ca="1" si="180"/>
        <v>0</v>
      </c>
      <c r="AM73" s="89" t="str">
        <f t="shared" ca="1" si="181"/>
        <v>NO PRAZO</v>
      </c>
      <c r="AN73" s="88">
        <f t="shared" si="168"/>
        <v>45941</v>
      </c>
      <c r="AO73" s="88">
        <f t="shared" si="168"/>
        <v>45941</v>
      </c>
      <c r="AP73" s="89">
        <f t="shared" ca="1" si="182"/>
        <v>0</v>
      </c>
      <c r="AQ73" s="89" t="str">
        <f t="shared" ca="1" si="183"/>
        <v>NO PRAZO</v>
      </c>
      <c r="AR73" s="88"/>
      <c r="AS73" s="88"/>
      <c r="AT73" s="88"/>
      <c r="AU73" s="85" t="s">
        <v>257</v>
      </c>
      <c r="AV73" s="89" t="s">
        <v>101</v>
      </c>
      <c r="AW73" s="89"/>
    </row>
    <row r="74" spans="2:49" ht="52.8" x14ac:dyDescent="0.3">
      <c r="B74" s="69" t="str">
        <f>IF(Tabela1[[#This Row],[DATA]],PROPER(TEXT(Tabela1[[#This Row],[DATA]],"mmm")),"")</f>
        <v>Out</v>
      </c>
      <c r="C74" s="88">
        <v>45943</v>
      </c>
      <c r="D74" s="88" t="str">
        <f t="shared" ref="D74:D106" si="187">CHOOSE(WEEKDAY(C74, 2), "Segunda", "Terça", "Quarta", "Quinta", "Sexta", "Sábado", "Domingo")</f>
        <v>Segunda</v>
      </c>
      <c r="E74" s="88"/>
      <c r="F74" s="67" t="str">
        <f t="shared" ref="F74:F138" si="188">IF(E74="", "", IF(E74&lt;TIME(6,0,0), "NOITE", IF(E74&lt;=TIME(12,0,0), "MANHÃ", IF(E74&lt;TIME(18,0,0), "TARDE", "NOITE"))))</f>
        <v/>
      </c>
      <c r="G74" s="88" t="s">
        <v>419</v>
      </c>
      <c r="H74" s="4" t="s">
        <v>508</v>
      </c>
      <c r="I74" s="89" t="s">
        <v>115</v>
      </c>
      <c r="J74" s="89" t="s">
        <v>300</v>
      </c>
      <c r="K74" s="89"/>
      <c r="L74" s="90" t="s">
        <v>420</v>
      </c>
      <c r="M74" s="89" t="s">
        <v>421</v>
      </c>
      <c r="N74" s="4" t="s">
        <v>676</v>
      </c>
      <c r="O74" s="89" t="s">
        <v>113</v>
      </c>
      <c r="P74" s="89" t="s">
        <v>93</v>
      </c>
      <c r="Q74" s="89" t="s">
        <v>5</v>
      </c>
      <c r="R74" s="89" t="s">
        <v>29</v>
      </c>
      <c r="S74" s="89" t="s">
        <v>161</v>
      </c>
      <c r="T74" s="88">
        <f t="shared" si="169"/>
        <v>45943</v>
      </c>
      <c r="U74" s="88">
        <f t="shared" si="184"/>
        <v>45943</v>
      </c>
      <c r="V74" s="89">
        <f t="shared" ca="1" si="170"/>
        <v>0</v>
      </c>
      <c r="W74" s="89" t="str">
        <f t="shared" ca="1" si="171"/>
        <v>NO PRAZO</v>
      </c>
      <c r="X74" s="88">
        <f t="shared" si="172"/>
        <v>45944</v>
      </c>
      <c r="Y74" s="88">
        <f t="shared" si="185"/>
        <v>45944</v>
      </c>
      <c r="Z74" s="89">
        <f t="shared" ca="1" si="173"/>
        <v>0</v>
      </c>
      <c r="AA74" s="89" t="str">
        <f t="shared" ca="1" si="174"/>
        <v>NO PRAZO</v>
      </c>
      <c r="AB74" s="88">
        <f t="shared" si="175"/>
        <v>45944</v>
      </c>
      <c r="AC74" s="88">
        <f t="shared" si="166"/>
        <v>45944</v>
      </c>
      <c r="AD74" s="89">
        <f t="shared" ca="1" si="176"/>
        <v>0</v>
      </c>
      <c r="AE74" s="89" t="str">
        <f t="shared" ca="1" si="177"/>
        <v>NO PRAZO</v>
      </c>
      <c r="AF74" s="88">
        <f t="shared" si="186"/>
        <v>45951</v>
      </c>
      <c r="AG74" s="88">
        <f t="shared" si="186"/>
        <v>45951</v>
      </c>
      <c r="AH74" s="89">
        <f t="shared" ca="1" si="178"/>
        <v>0</v>
      </c>
      <c r="AI74" s="89" t="str">
        <f t="shared" ca="1" si="179"/>
        <v>NO PRAZO</v>
      </c>
      <c r="AJ74" s="88">
        <f t="shared" ref="AJ74:AK77" si="189">IF($C74="","",$C74+9)</f>
        <v>45952</v>
      </c>
      <c r="AK74" s="88">
        <f t="shared" si="189"/>
        <v>45952</v>
      </c>
      <c r="AL74" s="89">
        <f t="shared" ca="1" si="180"/>
        <v>0</v>
      </c>
      <c r="AM74" s="89" t="str">
        <f t="shared" ca="1" si="181"/>
        <v>NO PRAZO</v>
      </c>
      <c r="AN74" s="88">
        <f t="shared" ref="AN74:AO77" si="190">IF($C74="","",$C74+10)</f>
        <v>45953</v>
      </c>
      <c r="AO74" s="88">
        <f t="shared" si="190"/>
        <v>45953</v>
      </c>
      <c r="AP74" s="89">
        <f t="shared" ca="1" si="182"/>
        <v>0</v>
      </c>
      <c r="AQ74" s="89" t="str">
        <f t="shared" ca="1" si="183"/>
        <v>NO PRAZO</v>
      </c>
      <c r="AR74" s="88"/>
      <c r="AS74" s="88"/>
      <c r="AT74" s="88"/>
      <c r="AU74" s="71" t="s">
        <v>601</v>
      </c>
      <c r="AV74" s="89" t="s">
        <v>101</v>
      </c>
      <c r="AW74" s="89" t="s">
        <v>87</v>
      </c>
    </row>
    <row r="75" spans="2:49" ht="52.8" x14ac:dyDescent="0.3">
      <c r="B75" s="69" t="str">
        <f>IF(Tabela1[[#This Row],[DATA]],PROPER(TEXT(Tabela1[[#This Row],[DATA]],"mmm")),"")</f>
        <v>Out</v>
      </c>
      <c r="C75" s="88">
        <v>45948</v>
      </c>
      <c r="D75" s="88" t="str">
        <f t="shared" si="187"/>
        <v>Sábado</v>
      </c>
      <c r="E75" s="88"/>
      <c r="F75" s="67" t="str">
        <f t="shared" si="188"/>
        <v/>
      </c>
      <c r="G75" s="88" t="s">
        <v>424</v>
      </c>
      <c r="H75" s="4" t="s">
        <v>460</v>
      </c>
      <c r="I75" s="89" t="s">
        <v>24</v>
      </c>
      <c r="J75" s="89" t="s">
        <v>300</v>
      </c>
      <c r="K75" s="89"/>
      <c r="L75" s="90" t="s">
        <v>422</v>
      </c>
      <c r="M75" s="89" t="s">
        <v>329</v>
      </c>
      <c r="N75" s="4" t="s">
        <v>676</v>
      </c>
      <c r="O75" s="89" t="s">
        <v>423</v>
      </c>
      <c r="P75" s="89" t="s">
        <v>79</v>
      </c>
      <c r="Q75" s="89" t="s">
        <v>5</v>
      </c>
      <c r="R75" s="89" t="s">
        <v>29</v>
      </c>
      <c r="S75" s="89" t="s">
        <v>161</v>
      </c>
      <c r="T75" s="88">
        <f t="shared" si="169"/>
        <v>45948</v>
      </c>
      <c r="U75" s="88">
        <f t="shared" si="184"/>
        <v>45948</v>
      </c>
      <c r="V75" s="89">
        <f t="shared" ca="1" si="170"/>
        <v>0</v>
      </c>
      <c r="W75" s="89" t="str">
        <f t="shared" ca="1" si="171"/>
        <v>NO PRAZO</v>
      </c>
      <c r="X75" s="88">
        <f t="shared" si="172"/>
        <v>45949</v>
      </c>
      <c r="Y75" s="88">
        <f t="shared" si="185"/>
        <v>45949</v>
      </c>
      <c r="Z75" s="89">
        <f t="shared" ca="1" si="173"/>
        <v>0</v>
      </c>
      <c r="AA75" s="89" t="str">
        <f t="shared" ca="1" si="174"/>
        <v>NO PRAZO</v>
      </c>
      <c r="AB75" s="88">
        <f t="shared" si="175"/>
        <v>45949</v>
      </c>
      <c r="AC75" s="88">
        <f t="shared" ref="AC75:AC80" si="191">IF($C75="","",$C75+1)</f>
        <v>45949</v>
      </c>
      <c r="AD75" s="89">
        <f t="shared" ca="1" si="176"/>
        <v>0</v>
      </c>
      <c r="AE75" s="89" t="str">
        <f t="shared" ca="1" si="177"/>
        <v>NO PRAZO</v>
      </c>
      <c r="AF75" s="88">
        <f t="shared" si="186"/>
        <v>45956</v>
      </c>
      <c r="AG75" s="88">
        <f t="shared" si="186"/>
        <v>45956</v>
      </c>
      <c r="AH75" s="89">
        <f t="shared" ca="1" si="178"/>
        <v>0</v>
      </c>
      <c r="AI75" s="89" t="str">
        <f t="shared" ca="1" si="179"/>
        <v>NO PRAZO</v>
      </c>
      <c r="AJ75" s="88">
        <f t="shared" si="189"/>
        <v>45957</v>
      </c>
      <c r="AK75" s="88">
        <f t="shared" si="189"/>
        <v>45957</v>
      </c>
      <c r="AL75" s="89">
        <f t="shared" ca="1" si="180"/>
        <v>0</v>
      </c>
      <c r="AM75" s="89" t="str">
        <f t="shared" ca="1" si="181"/>
        <v>NO PRAZO</v>
      </c>
      <c r="AN75" s="88">
        <f t="shared" si="190"/>
        <v>45958</v>
      </c>
      <c r="AO75" s="88">
        <f t="shared" si="190"/>
        <v>45958</v>
      </c>
      <c r="AP75" s="89">
        <f t="shared" ca="1" si="182"/>
        <v>0</v>
      </c>
      <c r="AQ75" s="89" t="str">
        <f t="shared" ca="1" si="183"/>
        <v>NO PRAZO</v>
      </c>
      <c r="AR75" s="88"/>
      <c r="AS75" s="88"/>
      <c r="AT75" s="88"/>
      <c r="AU75" s="71" t="s">
        <v>601</v>
      </c>
      <c r="AV75" s="89" t="s">
        <v>101</v>
      </c>
      <c r="AW75" s="89" t="s">
        <v>87</v>
      </c>
    </row>
    <row r="76" spans="2:49" ht="26.4" x14ac:dyDescent="0.3">
      <c r="B76" s="69" t="str">
        <f>IF(Tabela1[[#This Row],[DATA]],PROPER(TEXT(Tabela1[[#This Row],[DATA]],"mmm")),"")</f>
        <v>Out</v>
      </c>
      <c r="C76" s="88">
        <v>45951</v>
      </c>
      <c r="D76" s="88" t="str">
        <f t="shared" si="187"/>
        <v>Terça</v>
      </c>
      <c r="E76" s="88"/>
      <c r="F76" s="67" t="str">
        <f t="shared" si="188"/>
        <v/>
      </c>
      <c r="G76" s="88" t="s">
        <v>425</v>
      </c>
      <c r="H76" s="4" t="s">
        <v>468</v>
      </c>
      <c r="I76" s="89" t="s">
        <v>24</v>
      </c>
      <c r="J76" s="41" t="s">
        <v>263</v>
      </c>
      <c r="K76" s="41"/>
      <c r="L76" s="90" t="s">
        <v>426</v>
      </c>
      <c r="M76" s="89" t="s">
        <v>102</v>
      </c>
      <c r="N76" s="4" t="s">
        <v>675</v>
      </c>
      <c r="O76" s="89" t="s">
        <v>427</v>
      </c>
      <c r="P76" s="89" t="s">
        <v>93</v>
      </c>
      <c r="Q76" s="89" t="s">
        <v>5</v>
      </c>
      <c r="R76" s="89" t="s">
        <v>29</v>
      </c>
      <c r="S76" s="89" t="s">
        <v>161</v>
      </c>
      <c r="T76" s="88">
        <f t="shared" si="169"/>
        <v>45951</v>
      </c>
      <c r="U76" s="88">
        <f t="shared" si="184"/>
        <v>45951</v>
      </c>
      <c r="V76" s="89">
        <f t="shared" ca="1" si="170"/>
        <v>0</v>
      </c>
      <c r="W76" s="89" t="str">
        <f t="shared" ca="1" si="171"/>
        <v>NO PRAZO</v>
      </c>
      <c r="X76" s="88">
        <f t="shared" si="172"/>
        <v>45952</v>
      </c>
      <c r="Y76" s="88">
        <f t="shared" si="185"/>
        <v>45952</v>
      </c>
      <c r="Z76" s="89">
        <f t="shared" ca="1" si="173"/>
        <v>0</v>
      </c>
      <c r="AA76" s="89" t="str">
        <f t="shared" ca="1" si="174"/>
        <v>NO PRAZO</v>
      </c>
      <c r="AB76" s="88">
        <f t="shared" si="175"/>
        <v>45952</v>
      </c>
      <c r="AC76" s="88">
        <f t="shared" si="191"/>
        <v>45952</v>
      </c>
      <c r="AD76" s="89">
        <f t="shared" ca="1" si="176"/>
        <v>0</v>
      </c>
      <c r="AE76" s="89" t="str">
        <f t="shared" ca="1" si="177"/>
        <v>NO PRAZO</v>
      </c>
      <c r="AF76" s="88">
        <f t="shared" si="186"/>
        <v>45959</v>
      </c>
      <c r="AG76" s="88">
        <f t="shared" si="186"/>
        <v>45959</v>
      </c>
      <c r="AH76" s="89">
        <f t="shared" ca="1" si="178"/>
        <v>0</v>
      </c>
      <c r="AI76" s="89" t="str">
        <f t="shared" ca="1" si="179"/>
        <v>NO PRAZO</v>
      </c>
      <c r="AJ76" s="88">
        <f t="shared" si="189"/>
        <v>45960</v>
      </c>
      <c r="AK76" s="88">
        <f t="shared" si="189"/>
        <v>45960</v>
      </c>
      <c r="AL76" s="89">
        <f t="shared" ca="1" si="180"/>
        <v>0</v>
      </c>
      <c r="AM76" s="89" t="str">
        <f t="shared" ca="1" si="181"/>
        <v>NO PRAZO</v>
      </c>
      <c r="AN76" s="88">
        <f t="shared" si="190"/>
        <v>45961</v>
      </c>
      <c r="AO76" s="88">
        <f t="shared" si="190"/>
        <v>45961</v>
      </c>
      <c r="AP76" s="89">
        <f t="shared" ca="1" si="182"/>
        <v>0</v>
      </c>
      <c r="AQ76" s="89" t="str">
        <f t="shared" ca="1" si="183"/>
        <v>NO PRAZO</v>
      </c>
      <c r="AR76" s="88"/>
      <c r="AS76" s="88"/>
      <c r="AT76" s="88"/>
      <c r="AU76" s="91" t="s">
        <v>251</v>
      </c>
      <c r="AV76" s="89" t="s">
        <v>101</v>
      </c>
      <c r="AW76" s="89"/>
    </row>
    <row r="77" spans="2:49" ht="39.6" x14ac:dyDescent="0.3">
      <c r="B77" s="69" t="str">
        <f>IF(Tabela1[[#This Row],[DATA]],PROPER(TEXT(Tabela1[[#This Row],[DATA]],"mmm")),"")</f>
        <v>Out</v>
      </c>
      <c r="C77" s="88">
        <v>45951</v>
      </c>
      <c r="D77" s="88" t="str">
        <f t="shared" si="187"/>
        <v>Terça</v>
      </c>
      <c r="E77" s="88"/>
      <c r="F77" s="67" t="str">
        <f t="shared" si="188"/>
        <v/>
      </c>
      <c r="G77" s="88" t="s">
        <v>428</v>
      </c>
      <c r="H77" s="4" t="s">
        <v>429</v>
      </c>
      <c r="I77" s="89" t="s">
        <v>84</v>
      </c>
      <c r="J77" s="89" t="s">
        <v>300</v>
      </c>
      <c r="K77" s="89"/>
      <c r="L77" s="90" t="s">
        <v>430</v>
      </c>
      <c r="M77" s="89" t="s">
        <v>431</v>
      </c>
      <c r="N77" s="4" t="s">
        <v>675</v>
      </c>
      <c r="O77" s="89" t="s">
        <v>299</v>
      </c>
      <c r="P77" s="89" t="s">
        <v>104</v>
      </c>
      <c r="Q77" s="89" t="s">
        <v>5</v>
      </c>
      <c r="R77" s="89" t="s">
        <v>29</v>
      </c>
      <c r="S77" s="89" t="s">
        <v>161</v>
      </c>
      <c r="T77" s="88">
        <f t="shared" si="169"/>
        <v>45951</v>
      </c>
      <c r="U77" s="88">
        <f t="shared" si="184"/>
        <v>45951</v>
      </c>
      <c r="V77" s="89">
        <f t="shared" ca="1" si="170"/>
        <v>0</v>
      </c>
      <c r="W77" s="89" t="str">
        <f t="shared" ca="1" si="171"/>
        <v>NO PRAZO</v>
      </c>
      <c r="X77" s="88">
        <f t="shared" si="172"/>
        <v>45952</v>
      </c>
      <c r="Y77" s="88">
        <f t="shared" si="185"/>
        <v>45952</v>
      </c>
      <c r="Z77" s="89">
        <f t="shared" ca="1" si="173"/>
        <v>0</v>
      </c>
      <c r="AA77" s="89" t="str">
        <f t="shared" ca="1" si="174"/>
        <v>NO PRAZO</v>
      </c>
      <c r="AB77" s="88">
        <f t="shared" si="175"/>
        <v>45952</v>
      </c>
      <c r="AC77" s="88">
        <f t="shared" si="191"/>
        <v>45952</v>
      </c>
      <c r="AD77" s="89">
        <f t="shared" ca="1" si="176"/>
        <v>0</v>
      </c>
      <c r="AE77" s="89" t="str">
        <f t="shared" ca="1" si="177"/>
        <v>NO PRAZO</v>
      </c>
      <c r="AF77" s="88">
        <f t="shared" si="186"/>
        <v>45959</v>
      </c>
      <c r="AG77" s="88">
        <f t="shared" si="186"/>
        <v>45959</v>
      </c>
      <c r="AH77" s="89">
        <f t="shared" ca="1" si="178"/>
        <v>0</v>
      </c>
      <c r="AI77" s="89" t="str">
        <f t="shared" ca="1" si="179"/>
        <v>NO PRAZO</v>
      </c>
      <c r="AJ77" s="88">
        <f t="shared" si="189"/>
        <v>45960</v>
      </c>
      <c r="AK77" s="88">
        <f t="shared" si="189"/>
        <v>45960</v>
      </c>
      <c r="AL77" s="89">
        <f t="shared" ca="1" si="180"/>
        <v>0</v>
      </c>
      <c r="AM77" s="89" t="str">
        <f t="shared" ca="1" si="181"/>
        <v>NO PRAZO</v>
      </c>
      <c r="AN77" s="88">
        <f t="shared" si="190"/>
        <v>45961</v>
      </c>
      <c r="AO77" s="88">
        <f t="shared" si="190"/>
        <v>45961</v>
      </c>
      <c r="AP77" s="89">
        <f t="shared" ca="1" si="182"/>
        <v>0</v>
      </c>
      <c r="AQ77" s="89" t="str">
        <f t="shared" ca="1" si="183"/>
        <v>NO PRAZO</v>
      </c>
      <c r="AR77" s="88"/>
      <c r="AS77" s="88"/>
      <c r="AT77" s="88"/>
      <c r="AU77" s="71" t="s">
        <v>601</v>
      </c>
      <c r="AV77" s="89" t="s">
        <v>101</v>
      </c>
      <c r="AW77" s="89" t="s">
        <v>101</v>
      </c>
    </row>
    <row r="78" spans="2:49" ht="26.4" x14ac:dyDescent="0.3">
      <c r="B78" s="69" t="str">
        <f>IF(Tabela1[[#This Row],[DATA]],PROPER(TEXT(Tabela1[[#This Row],[DATA]],"mmm")),"")</f>
        <v>Nov</v>
      </c>
      <c r="C78" s="88">
        <v>45963</v>
      </c>
      <c r="D78" s="88" t="str">
        <f t="shared" si="187"/>
        <v>Domingo</v>
      </c>
      <c r="E78" s="88"/>
      <c r="F78" s="67" t="str">
        <f t="shared" si="188"/>
        <v/>
      </c>
      <c r="G78" s="88" t="s">
        <v>432</v>
      </c>
      <c r="H78" s="4" t="s">
        <v>469</v>
      </c>
      <c r="I78" s="89" t="s">
        <v>24</v>
      </c>
      <c r="J78" s="89" t="s">
        <v>300</v>
      </c>
      <c r="K78" s="89"/>
      <c r="L78" s="90" t="s">
        <v>433</v>
      </c>
      <c r="M78" s="89" t="s">
        <v>102</v>
      </c>
      <c r="N78" s="4" t="s">
        <v>675</v>
      </c>
      <c r="O78" s="89" t="s">
        <v>434</v>
      </c>
      <c r="P78" s="89" t="s">
        <v>93</v>
      </c>
      <c r="Q78" s="89" t="s">
        <v>5</v>
      </c>
      <c r="R78" s="89" t="s">
        <v>29</v>
      </c>
      <c r="S78" s="89" t="s">
        <v>161</v>
      </c>
      <c r="T78" s="88">
        <f t="shared" ref="T78:U88" si="192">IF($C78="","",$C78)</f>
        <v>45963</v>
      </c>
      <c r="U78" s="88">
        <f t="shared" si="184"/>
        <v>45963</v>
      </c>
      <c r="V78" s="89">
        <f t="shared" ref="V78:V85" ca="1" si="193">IF($C78="","",IF(U78="",TODAY()-T78,U78-T78))</f>
        <v>0</v>
      </c>
      <c r="W78" s="89" t="str">
        <f t="shared" ref="W78:W85" ca="1" si="194">IF($C78="","",IF(AND($C78&lt;&gt;"",U78=""),IF(T78=TODAY(),"VENCE HOJE",IF(T78&lt;TODAY(),"ATRASADO","NO PRAZO")),IF(U78&lt;=T78,"NO PRAZO","ATRASADO")))</f>
        <v>NO PRAZO</v>
      </c>
      <c r="X78" s="88">
        <f t="shared" ref="X78:Y88" si="195">IF($C78="","",$C78+1)</f>
        <v>45964</v>
      </c>
      <c r="Y78" s="88">
        <f t="shared" si="185"/>
        <v>45964</v>
      </c>
      <c r="Z78" s="89">
        <f t="shared" ref="Z78:Z85" ca="1" si="196">IF($C78="","",IF(Y78="",TODAY()-X78,Y78-X78))</f>
        <v>0</v>
      </c>
      <c r="AA78" s="89" t="str">
        <f t="shared" ref="AA78:AA85" ca="1" si="197">IF($C78="","",IF(AND($C78&lt;&gt;"",Y78=""),IF(X78=TODAY(),"VENCE HOJE",IF(X78&lt;TODAY(),"ATRASADO","NO PRAZO")),IF(Y78&lt;=X78,"NO PRAZO","ATRASADO")))</f>
        <v>NO PRAZO</v>
      </c>
      <c r="AB78" s="88">
        <f t="shared" ref="AB78:AC88" si="198">IF($C78="","",$C78+1)</f>
        <v>45964</v>
      </c>
      <c r="AC78" s="88">
        <f t="shared" si="191"/>
        <v>45964</v>
      </c>
      <c r="AD78" s="89">
        <f t="shared" ref="AD78:AD85" ca="1" si="199">IF($C78="","",IF(AC78="",TODAY()-AB78,AC78-AB78))</f>
        <v>0</v>
      </c>
      <c r="AE78" s="89" t="str">
        <f t="shared" ref="AE78:AE85" ca="1" si="200">IF($C78="","",IF(AND($C78&lt;&gt;"",AC78=""),IF(AB78=TODAY(),"VENCE HOJE",IF(AB78&lt;TODAY(),"ATRASADO","NO PRAZO")),IF(AC78&lt;=AB78,"NO PRAZO","ATRASADO")))</f>
        <v>NO PRAZO</v>
      </c>
      <c r="AF78" s="88">
        <f t="shared" ref="AF78:AG81" si="201">IF($C78="","",$C78+8)</f>
        <v>45971</v>
      </c>
      <c r="AG78" s="88">
        <f t="shared" si="201"/>
        <v>45971</v>
      </c>
      <c r="AH78" s="89">
        <f t="shared" ref="AH78:AH85" ca="1" si="202">IF($C78="","",IF(AG78="",TODAY()-AF78,AG78-AF78))</f>
        <v>0</v>
      </c>
      <c r="AI78" s="89" t="str">
        <f t="shared" ref="AI78:AI85" ca="1" si="203">IF($C78="","",IF(AND($C78&lt;&gt;"",AG78=""),IF(AF78=TODAY(),"VENCE HOJE",IF(AF78&lt;TODAY(),"ATRASADO","NO PRAZO")),IF(AG78&lt;=AF78,"NO PRAZO","ATRASADO")))</f>
        <v>NO PRAZO</v>
      </c>
      <c r="AJ78" s="88">
        <f t="shared" ref="AJ78:AK81" si="204">IF($C78="","",$C78+9)</f>
        <v>45972</v>
      </c>
      <c r="AK78" s="88">
        <f t="shared" si="204"/>
        <v>45972</v>
      </c>
      <c r="AL78" s="89">
        <f t="shared" ref="AL78:AL85" ca="1" si="205">IF($C78="","",IF(AK78="",TODAY()-AJ78,AK78-AJ78))</f>
        <v>0</v>
      </c>
      <c r="AM78" s="89" t="str">
        <f t="shared" ref="AM78:AM85" ca="1" si="206">IF($C78="","",IF(AND($C78&lt;&gt;"",AK78=""),IF(AJ78=TODAY(),"VENCE HOJE",IF(AJ78&lt;TODAY(),"ATRASADO","NO PRAZO")),IF(AK78&lt;=AJ78,"NO PRAZO","ATRASADO")))</f>
        <v>NO PRAZO</v>
      </c>
      <c r="AN78" s="88">
        <f t="shared" ref="AN78:AO81" si="207">IF($C78="","",$C78+10)</f>
        <v>45973</v>
      </c>
      <c r="AO78" s="88">
        <f t="shared" si="207"/>
        <v>45973</v>
      </c>
      <c r="AP78" s="89">
        <f t="shared" ref="AP78:AP85" ca="1" si="208">IF($C78="","",IF(AO78="",TODAY()-AN78,AO78-AN78))</f>
        <v>0</v>
      </c>
      <c r="AQ78" s="89" t="str">
        <f t="shared" ref="AQ78:AQ85" ca="1" si="209">IF($C78="","",IF(AND($C78&lt;&gt;"",AO78=""),IF(AN78=TODAY(),"VENCE HOJE",IF(AN78&lt;TODAY(),"ATRASADO","NO PRAZO")),IF(AO78&lt;=AN78,"NO PRAZO","ATRASADO")))</f>
        <v>NO PRAZO</v>
      </c>
      <c r="AR78" s="88"/>
      <c r="AS78" s="88"/>
      <c r="AT78" s="88"/>
      <c r="AU78" s="71" t="s">
        <v>601</v>
      </c>
      <c r="AV78" s="89" t="s">
        <v>101</v>
      </c>
      <c r="AW78" s="89" t="s">
        <v>87</v>
      </c>
    </row>
    <row r="79" spans="2:49" ht="26.4" x14ac:dyDescent="0.3">
      <c r="B79" s="69" t="str">
        <f>IF(Tabela1[[#This Row],[DATA]],PROPER(TEXT(Tabela1[[#This Row],[DATA]],"mmm")),"")</f>
        <v>Nov</v>
      </c>
      <c r="C79" s="88">
        <v>45963</v>
      </c>
      <c r="D79" s="88" t="str">
        <f t="shared" si="187"/>
        <v>Domingo</v>
      </c>
      <c r="E79" s="88"/>
      <c r="F79" s="67" t="str">
        <f t="shared" si="188"/>
        <v/>
      </c>
      <c r="G79" s="88" t="s">
        <v>413</v>
      </c>
      <c r="H79" s="4" t="s">
        <v>467</v>
      </c>
      <c r="I79" s="89" t="s">
        <v>24</v>
      </c>
      <c r="J79" s="89" t="s">
        <v>300</v>
      </c>
      <c r="K79" s="89"/>
      <c r="L79" s="90" t="s">
        <v>435</v>
      </c>
      <c r="M79" s="89" t="s">
        <v>378</v>
      </c>
      <c r="N79" s="4" t="s">
        <v>676</v>
      </c>
      <c r="O79" s="89" t="s">
        <v>299</v>
      </c>
      <c r="P79" s="89" t="s">
        <v>104</v>
      </c>
      <c r="Q79" s="89" t="s">
        <v>5</v>
      </c>
      <c r="R79" s="89" t="s">
        <v>29</v>
      </c>
      <c r="S79" s="89" t="s">
        <v>161</v>
      </c>
      <c r="T79" s="88">
        <f t="shared" si="192"/>
        <v>45963</v>
      </c>
      <c r="U79" s="88">
        <f t="shared" si="184"/>
        <v>45963</v>
      </c>
      <c r="V79" s="89">
        <f t="shared" ca="1" si="193"/>
        <v>0</v>
      </c>
      <c r="W79" s="89" t="str">
        <f t="shared" ca="1" si="194"/>
        <v>NO PRAZO</v>
      </c>
      <c r="X79" s="88">
        <f t="shared" si="195"/>
        <v>45964</v>
      </c>
      <c r="Y79" s="88">
        <f t="shared" si="185"/>
        <v>45964</v>
      </c>
      <c r="Z79" s="89">
        <f t="shared" ca="1" si="196"/>
        <v>0</v>
      </c>
      <c r="AA79" s="89" t="str">
        <f t="shared" ca="1" si="197"/>
        <v>NO PRAZO</v>
      </c>
      <c r="AB79" s="88">
        <f t="shared" si="198"/>
        <v>45964</v>
      </c>
      <c r="AC79" s="88">
        <f t="shared" si="191"/>
        <v>45964</v>
      </c>
      <c r="AD79" s="89">
        <f t="shared" ca="1" si="199"/>
        <v>0</v>
      </c>
      <c r="AE79" s="89" t="str">
        <f t="shared" ca="1" si="200"/>
        <v>NO PRAZO</v>
      </c>
      <c r="AF79" s="88">
        <f t="shared" si="201"/>
        <v>45971</v>
      </c>
      <c r="AG79" s="88">
        <f t="shared" si="201"/>
        <v>45971</v>
      </c>
      <c r="AH79" s="89">
        <f t="shared" ca="1" si="202"/>
        <v>0</v>
      </c>
      <c r="AI79" s="89" t="str">
        <f t="shared" ca="1" si="203"/>
        <v>NO PRAZO</v>
      </c>
      <c r="AJ79" s="88">
        <f t="shared" si="204"/>
        <v>45972</v>
      </c>
      <c r="AK79" s="88">
        <f t="shared" si="204"/>
        <v>45972</v>
      </c>
      <c r="AL79" s="89">
        <f t="shared" ca="1" si="205"/>
        <v>0</v>
      </c>
      <c r="AM79" s="89" t="str">
        <f t="shared" ca="1" si="206"/>
        <v>NO PRAZO</v>
      </c>
      <c r="AN79" s="88">
        <f t="shared" si="207"/>
        <v>45973</v>
      </c>
      <c r="AO79" s="88">
        <f t="shared" si="207"/>
        <v>45973</v>
      </c>
      <c r="AP79" s="89">
        <f t="shared" ca="1" si="208"/>
        <v>0</v>
      </c>
      <c r="AQ79" s="89" t="str">
        <f t="shared" ca="1" si="209"/>
        <v>NO PRAZO</v>
      </c>
      <c r="AR79" s="88"/>
      <c r="AS79" s="88"/>
      <c r="AT79" s="88"/>
      <c r="AU79" s="71" t="s">
        <v>601</v>
      </c>
      <c r="AV79" s="89" t="s">
        <v>101</v>
      </c>
      <c r="AW79" s="89" t="s">
        <v>101</v>
      </c>
    </row>
    <row r="80" spans="2:49" ht="26.4" x14ac:dyDescent="0.3">
      <c r="B80" s="69" t="str">
        <f>IF(Tabela1[[#This Row],[DATA]],PROPER(TEXT(Tabela1[[#This Row],[DATA]],"mmm")),"")</f>
        <v>Nov</v>
      </c>
      <c r="C80" s="88">
        <v>45968</v>
      </c>
      <c r="D80" s="88" t="str">
        <f t="shared" si="187"/>
        <v>Sexta</v>
      </c>
      <c r="E80" s="88"/>
      <c r="F80" s="67" t="str">
        <f t="shared" si="188"/>
        <v/>
      </c>
      <c r="G80" s="88" t="s">
        <v>437</v>
      </c>
      <c r="H80" s="4" t="s">
        <v>468</v>
      </c>
      <c r="I80" s="89" t="s">
        <v>24</v>
      </c>
      <c r="J80" s="89" t="s">
        <v>300</v>
      </c>
      <c r="K80" s="89"/>
      <c r="L80" s="137" t="s">
        <v>438</v>
      </c>
      <c r="M80" s="89" t="s">
        <v>102</v>
      </c>
      <c r="N80" s="4" t="s">
        <v>675</v>
      </c>
      <c r="O80" s="89" t="s">
        <v>427</v>
      </c>
      <c r="P80" s="89" t="s">
        <v>93</v>
      </c>
      <c r="Q80" s="89" t="s">
        <v>5</v>
      </c>
      <c r="R80" s="89" t="s">
        <v>29</v>
      </c>
      <c r="S80" s="89" t="s">
        <v>161</v>
      </c>
      <c r="T80" s="88">
        <f t="shared" si="192"/>
        <v>45968</v>
      </c>
      <c r="U80" s="88">
        <f t="shared" ref="U80:U85" si="210">IF($C80="","",$C80)</f>
        <v>45968</v>
      </c>
      <c r="V80" s="89">
        <f t="shared" ca="1" si="193"/>
        <v>0</v>
      </c>
      <c r="W80" s="89" t="str">
        <f t="shared" ca="1" si="194"/>
        <v>NO PRAZO</v>
      </c>
      <c r="X80" s="88">
        <f t="shared" si="195"/>
        <v>45969</v>
      </c>
      <c r="Y80" s="88">
        <f t="shared" ref="Y80:Y85" si="211">IF($C80="","",$C80+1)</f>
        <v>45969</v>
      </c>
      <c r="Z80" s="89">
        <f t="shared" ca="1" si="196"/>
        <v>0</v>
      </c>
      <c r="AA80" s="89" t="str">
        <f t="shared" ca="1" si="197"/>
        <v>NO PRAZO</v>
      </c>
      <c r="AB80" s="88">
        <f t="shared" si="198"/>
        <v>45969</v>
      </c>
      <c r="AC80" s="88">
        <f t="shared" si="191"/>
        <v>45969</v>
      </c>
      <c r="AD80" s="89">
        <f t="shared" ca="1" si="199"/>
        <v>0</v>
      </c>
      <c r="AE80" s="89" t="str">
        <f t="shared" ca="1" si="200"/>
        <v>NO PRAZO</v>
      </c>
      <c r="AF80" s="88">
        <f t="shared" si="201"/>
        <v>45976</v>
      </c>
      <c r="AG80" s="88">
        <f t="shared" si="201"/>
        <v>45976</v>
      </c>
      <c r="AH80" s="89">
        <f t="shared" ca="1" si="202"/>
        <v>0</v>
      </c>
      <c r="AI80" s="89" t="str">
        <f t="shared" ca="1" si="203"/>
        <v>NO PRAZO</v>
      </c>
      <c r="AJ80" s="88">
        <f t="shared" si="204"/>
        <v>45977</v>
      </c>
      <c r="AK80" s="88">
        <f t="shared" si="204"/>
        <v>45977</v>
      </c>
      <c r="AL80" s="89">
        <f t="shared" ca="1" si="205"/>
        <v>0</v>
      </c>
      <c r="AM80" s="89" t="str">
        <f t="shared" ca="1" si="206"/>
        <v>NO PRAZO</v>
      </c>
      <c r="AN80" s="88">
        <f t="shared" si="207"/>
        <v>45978</v>
      </c>
      <c r="AO80" s="88">
        <f t="shared" si="207"/>
        <v>45978</v>
      </c>
      <c r="AP80" s="89">
        <f t="shared" ca="1" si="208"/>
        <v>0</v>
      </c>
      <c r="AQ80" s="89" t="str">
        <f t="shared" ca="1" si="209"/>
        <v>NO PRAZO</v>
      </c>
      <c r="AR80" s="88"/>
      <c r="AS80" s="88"/>
      <c r="AT80" s="88"/>
      <c r="AU80" s="71" t="s">
        <v>601</v>
      </c>
      <c r="AV80" s="89" t="s">
        <v>101</v>
      </c>
      <c r="AW80" s="89" t="s">
        <v>87</v>
      </c>
    </row>
    <row r="81" spans="2:49" ht="39.6" x14ac:dyDescent="0.3">
      <c r="B81" s="69" t="str">
        <f>IF(Tabela1[[#This Row],[DATA]],PROPER(TEXT(Tabela1[[#This Row],[DATA]],"mmm")),"")</f>
        <v>Nov</v>
      </c>
      <c r="C81" s="88">
        <v>45970</v>
      </c>
      <c r="D81" s="88" t="str">
        <f t="shared" si="187"/>
        <v>Domingo</v>
      </c>
      <c r="E81" s="88"/>
      <c r="F81" s="67" t="str">
        <f t="shared" si="188"/>
        <v/>
      </c>
      <c r="G81" s="88" t="s">
        <v>439</v>
      </c>
      <c r="H81" s="4" t="s">
        <v>470</v>
      </c>
      <c r="I81" s="89" t="s">
        <v>24</v>
      </c>
      <c r="J81" s="89" t="s">
        <v>300</v>
      </c>
      <c r="K81" s="89"/>
      <c r="L81" s="137" t="s">
        <v>440</v>
      </c>
      <c r="M81" s="89" t="s">
        <v>401</v>
      </c>
      <c r="N81" s="4" t="s">
        <v>676</v>
      </c>
      <c r="O81" s="89" t="s">
        <v>25</v>
      </c>
      <c r="P81" s="89" t="s">
        <v>26</v>
      </c>
      <c r="Q81" s="89" t="s">
        <v>5</v>
      </c>
      <c r="R81" s="89" t="s">
        <v>29</v>
      </c>
      <c r="S81" s="89" t="s">
        <v>161</v>
      </c>
      <c r="T81" s="88">
        <f t="shared" si="192"/>
        <v>45970</v>
      </c>
      <c r="U81" s="88">
        <f t="shared" si="210"/>
        <v>45970</v>
      </c>
      <c r="V81" s="89">
        <f t="shared" ca="1" si="193"/>
        <v>0</v>
      </c>
      <c r="W81" s="89" t="str">
        <f t="shared" ca="1" si="194"/>
        <v>NO PRAZO</v>
      </c>
      <c r="X81" s="88">
        <f t="shared" si="195"/>
        <v>45971</v>
      </c>
      <c r="Y81" s="88">
        <f t="shared" si="211"/>
        <v>45971</v>
      </c>
      <c r="Z81" s="89">
        <f t="shared" ca="1" si="196"/>
        <v>0</v>
      </c>
      <c r="AA81" s="89" t="str">
        <f t="shared" ca="1" si="197"/>
        <v>NO PRAZO</v>
      </c>
      <c r="AB81" s="88">
        <f t="shared" si="198"/>
        <v>45971</v>
      </c>
      <c r="AC81" s="88">
        <f>IF($C81="","",$C81+1)</f>
        <v>45971</v>
      </c>
      <c r="AD81" s="89">
        <f t="shared" ca="1" si="199"/>
        <v>0</v>
      </c>
      <c r="AE81" s="89" t="str">
        <f t="shared" ca="1" si="200"/>
        <v>NO PRAZO</v>
      </c>
      <c r="AF81" s="88">
        <f t="shared" si="201"/>
        <v>45978</v>
      </c>
      <c r="AG81" s="88">
        <f t="shared" si="201"/>
        <v>45978</v>
      </c>
      <c r="AH81" s="89">
        <f t="shared" ca="1" si="202"/>
        <v>0</v>
      </c>
      <c r="AI81" s="89" t="str">
        <f t="shared" ca="1" si="203"/>
        <v>NO PRAZO</v>
      </c>
      <c r="AJ81" s="88">
        <f t="shared" si="204"/>
        <v>45979</v>
      </c>
      <c r="AK81" s="88">
        <f t="shared" si="204"/>
        <v>45979</v>
      </c>
      <c r="AL81" s="89">
        <f t="shared" ca="1" si="205"/>
        <v>0</v>
      </c>
      <c r="AM81" s="89" t="str">
        <f t="shared" ca="1" si="206"/>
        <v>NO PRAZO</v>
      </c>
      <c r="AN81" s="88">
        <f t="shared" si="207"/>
        <v>45980</v>
      </c>
      <c r="AO81" s="88">
        <f t="shared" si="207"/>
        <v>45980</v>
      </c>
      <c r="AP81" s="89">
        <f t="shared" ca="1" si="208"/>
        <v>0</v>
      </c>
      <c r="AQ81" s="89" t="str">
        <f t="shared" ca="1" si="209"/>
        <v>NO PRAZO</v>
      </c>
      <c r="AR81" s="88"/>
      <c r="AS81" s="88"/>
      <c r="AT81" s="88"/>
      <c r="AU81" s="71" t="s">
        <v>601</v>
      </c>
      <c r="AV81" s="89" t="s">
        <v>101</v>
      </c>
      <c r="AW81" s="89" t="s">
        <v>87</v>
      </c>
    </row>
    <row r="82" spans="2:49" ht="52.8" x14ac:dyDescent="0.3">
      <c r="B82" s="69" t="str">
        <f>IF(Tabela1[[#This Row],[DATA]],PROPER(TEXT(Tabela1[[#This Row],[DATA]],"mmm")),"")</f>
        <v>Nov</v>
      </c>
      <c r="C82" s="88">
        <v>45988</v>
      </c>
      <c r="D82" s="88" t="str">
        <f t="shared" si="187"/>
        <v>Quinta</v>
      </c>
      <c r="E82" s="88"/>
      <c r="F82" s="67" t="str">
        <f t="shared" si="188"/>
        <v/>
      </c>
      <c r="G82" s="88" t="s">
        <v>441</v>
      </c>
      <c r="H82" s="4" t="s">
        <v>484</v>
      </c>
      <c r="I82" s="89" t="s">
        <v>84</v>
      </c>
      <c r="J82" s="89" t="s">
        <v>300</v>
      </c>
      <c r="K82" s="89"/>
      <c r="L82" s="137" t="s">
        <v>443</v>
      </c>
      <c r="M82" s="89" t="s">
        <v>182</v>
      </c>
      <c r="N82" s="4" t="s">
        <v>676</v>
      </c>
      <c r="O82" s="89" t="s">
        <v>442</v>
      </c>
      <c r="P82" s="89" t="s">
        <v>79</v>
      </c>
      <c r="Q82" s="89" t="s">
        <v>5</v>
      </c>
      <c r="R82" s="89" t="s">
        <v>29</v>
      </c>
      <c r="S82" s="89" t="s">
        <v>161</v>
      </c>
      <c r="T82" s="88">
        <f t="shared" si="192"/>
        <v>45988</v>
      </c>
      <c r="U82" s="88">
        <f t="shared" si="210"/>
        <v>45988</v>
      </c>
      <c r="V82" s="89">
        <f t="shared" ca="1" si="193"/>
        <v>0</v>
      </c>
      <c r="W82" s="89" t="str">
        <f t="shared" ca="1" si="194"/>
        <v>NO PRAZO</v>
      </c>
      <c r="X82" s="88">
        <f t="shared" si="195"/>
        <v>45989</v>
      </c>
      <c r="Y82" s="88">
        <f t="shared" si="211"/>
        <v>45989</v>
      </c>
      <c r="Z82" s="89">
        <f t="shared" ca="1" si="196"/>
        <v>0</v>
      </c>
      <c r="AA82" s="89" t="str">
        <f t="shared" ca="1" si="197"/>
        <v>NO PRAZO</v>
      </c>
      <c r="AB82" s="88">
        <f t="shared" si="198"/>
        <v>45989</v>
      </c>
      <c r="AC82" s="88">
        <f>IF($C82="","",$C82+1)</f>
        <v>45989</v>
      </c>
      <c r="AD82" s="89">
        <f t="shared" ca="1" si="199"/>
        <v>0</v>
      </c>
      <c r="AE82" s="89" t="str">
        <f t="shared" ca="1" si="200"/>
        <v>NO PRAZO</v>
      </c>
      <c r="AF82" s="88">
        <f>IF($C82="","",$C82+8)</f>
        <v>45996</v>
      </c>
      <c r="AG82" s="88">
        <f>IF($C82="","",$C82+8)</f>
        <v>45996</v>
      </c>
      <c r="AH82" s="89">
        <f t="shared" ca="1" si="202"/>
        <v>0</v>
      </c>
      <c r="AI82" s="89" t="str">
        <f t="shared" ca="1" si="203"/>
        <v>NO PRAZO</v>
      </c>
      <c r="AJ82" s="88">
        <f>IF($C82="","",$C82+9)</f>
        <v>45997</v>
      </c>
      <c r="AK82" s="88">
        <f>IF($C82="","",$C82+9)</f>
        <v>45997</v>
      </c>
      <c r="AL82" s="89">
        <f t="shared" ca="1" si="205"/>
        <v>0</v>
      </c>
      <c r="AM82" s="89" t="str">
        <f t="shared" ca="1" si="206"/>
        <v>NO PRAZO</v>
      </c>
      <c r="AN82" s="88">
        <f>IF($C82="","",$C82+10)</f>
        <v>45998</v>
      </c>
      <c r="AO82" s="88">
        <f>IF($C82="","",$C82+10)</f>
        <v>45998</v>
      </c>
      <c r="AP82" s="89">
        <f t="shared" ca="1" si="208"/>
        <v>0</v>
      </c>
      <c r="AQ82" s="89" t="str">
        <f t="shared" ca="1" si="209"/>
        <v>NO PRAZO</v>
      </c>
      <c r="AR82" s="88"/>
      <c r="AS82" s="88"/>
      <c r="AT82" s="88"/>
      <c r="AU82" s="71" t="s">
        <v>601</v>
      </c>
      <c r="AV82" s="89" t="s">
        <v>101</v>
      </c>
      <c r="AW82" s="89" t="s">
        <v>87</v>
      </c>
    </row>
    <row r="83" spans="2:49" ht="26.4" x14ac:dyDescent="0.3">
      <c r="B83" s="69" t="str">
        <f>IF(Tabela1[[#This Row],[DATA]],PROPER(TEXT(Tabela1[[#This Row],[DATA]],"mmm")),"")</f>
        <v>Jan</v>
      </c>
      <c r="C83" s="80">
        <v>46042</v>
      </c>
      <c r="D83" s="80" t="str">
        <f t="shared" si="187"/>
        <v>Terça</v>
      </c>
      <c r="E83" s="149">
        <v>0.9375</v>
      </c>
      <c r="F83" s="67" t="str">
        <f t="shared" si="188"/>
        <v>NOITE</v>
      </c>
      <c r="G83" s="80" t="s">
        <v>444</v>
      </c>
      <c r="H83" s="4" t="s">
        <v>454</v>
      </c>
      <c r="I83" s="41" t="s">
        <v>24</v>
      </c>
      <c r="J83" s="41" t="s">
        <v>300</v>
      </c>
      <c r="K83" s="41" t="s">
        <v>696</v>
      </c>
      <c r="L83" s="137" t="s">
        <v>445</v>
      </c>
      <c r="M83" s="41" t="s">
        <v>102</v>
      </c>
      <c r="N83" s="4" t="s">
        <v>676</v>
      </c>
      <c r="O83" s="41" t="s">
        <v>446</v>
      </c>
      <c r="P83" s="41" t="s">
        <v>93</v>
      </c>
      <c r="Q83" s="41" t="s">
        <v>5</v>
      </c>
      <c r="R83" s="41" t="s">
        <v>29</v>
      </c>
      <c r="S83" s="41" t="s">
        <v>161</v>
      </c>
      <c r="T83" s="80">
        <f t="shared" si="192"/>
        <v>46042</v>
      </c>
      <c r="U83" s="80">
        <f t="shared" si="210"/>
        <v>46042</v>
      </c>
      <c r="V83" s="41">
        <f t="shared" ca="1" si="193"/>
        <v>0</v>
      </c>
      <c r="W83" s="41" t="str">
        <f t="shared" ca="1" si="194"/>
        <v>NO PRAZO</v>
      </c>
      <c r="X83" s="80">
        <f t="shared" si="195"/>
        <v>46043</v>
      </c>
      <c r="Y83" s="80">
        <f t="shared" si="211"/>
        <v>46043</v>
      </c>
      <c r="Z83" s="41">
        <f t="shared" ca="1" si="196"/>
        <v>0</v>
      </c>
      <c r="AA83" s="41" t="str">
        <f t="shared" ca="1" si="197"/>
        <v>NO PRAZO</v>
      </c>
      <c r="AB83" s="80">
        <f t="shared" si="198"/>
        <v>46043</v>
      </c>
      <c r="AC83" s="80">
        <f t="shared" si="198"/>
        <v>46043</v>
      </c>
      <c r="AD83" s="41">
        <f t="shared" ca="1" si="199"/>
        <v>0</v>
      </c>
      <c r="AE83" s="41" t="str">
        <f t="shared" ca="1" si="200"/>
        <v>NO PRAZO</v>
      </c>
      <c r="AF83" s="80">
        <f t="shared" ref="AF83:AG87" si="212">IF($C83="","",$C83+8)</f>
        <v>46050</v>
      </c>
      <c r="AG83" s="80">
        <f t="shared" si="212"/>
        <v>46050</v>
      </c>
      <c r="AH83" s="41">
        <f t="shared" ca="1" si="202"/>
        <v>0</v>
      </c>
      <c r="AI83" s="41" t="str">
        <f t="shared" ca="1" si="203"/>
        <v>NO PRAZO</v>
      </c>
      <c r="AJ83" s="80">
        <f t="shared" ref="AJ83:AK87" si="213">IF($C83="","",$C83+9)</f>
        <v>46051</v>
      </c>
      <c r="AK83" s="80">
        <f t="shared" si="213"/>
        <v>46051</v>
      </c>
      <c r="AL83" s="41">
        <f t="shared" ca="1" si="205"/>
        <v>0</v>
      </c>
      <c r="AM83" s="41" t="str">
        <f t="shared" ca="1" si="206"/>
        <v>NO PRAZO</v>
      </c>
      <c r="AN83" s="80">
        <f t="shared" ref="AN83:AO85" si="214">IF($C83="","",$C83+10)</f>
        <v>46052</v>
      </c>
      <c r="AO83" s="80">
        <f t="shared" si="214"/>
        <v>46052</v>
      </c>
      <c r="AP83" s="41">
        <f t="shared" ca="1" si="208"/>
        <v>0</v>
      </c>
      <c r="AQ83" s="41" t="str">
        <f t="shared" ca="1" si="209"/>
        <v>NO PRAZO</v>
      </c>
      <c r="AR83" s="80"/>
      <c r="AS83" s="80"/>
      <c r="AT83" s="80"/>
      <c r="AU83" s="71" t="s">
        <v>601</v>
      </c>
      <c r="AV83" s="41" t="s">
        <v>101</v>
      </c>
      <c r="AW83" s="41" t="s">
        <v>87</v>
      </c>
    </row>
    <row r="84" spans="2:49" ht="39.6" x14ac:dyDescent="0.3">
      <c r="B84" s="69" t="str">
        <f>IF(Tabela1[[#This Row],[DATA]],PROPER(TEXT(Tabela1[[#This Row],[DATA]],"mmm")),"")</f>
        <v>Jan</v>
      </c>
      <c r="C84" s="80">
        <v>46043</v>
      </c>
      <c r="D84" s="80" t="str">
        <f t="shared" si="187"/>
        <v>Quarta</v>
      </c>
      <c r="E84" s="149">
        <v>0.71944444444444444</v>
      </c>
      <c r="F84" s="67" t="str">
        <f t="shared" si="188"/>
        <v>TARDE</v>
      </c>
      <c r="G84" s="80" t="s">
        <v>447</v>
      </c>
      <c r="H84" s="4" t="s">
        <v>455</v>
      </c>
      <c r="I84" s="41" t="s">
        <v>24</v>
      </c>
      <c r="J84" s="41" t="s">
        <v>449</v>
      </c>
      <c r="K84" s="41" t="s">
        <v>718</v>
      </c>
      <c r="L84" s="137" t="s">
        <v>448</v>
      </c>
      <c r="M84" s="41" t="s">
        <v>335</v>
      </c>
      <c r="N84" s="4" t="s">
        <v>675</v>
      </c>
      <c r="O84" s="41" t="s">
        <v>96</v>
      </c>
      <c r="P84" s="41" t="s">
        <v>97</v>
      </c>
      <c r="Q84" s="41" t="s">
        <v>5</v>
      </c>
      <c r="R84" s="41" t="s">
        <v>29</v>
      </c>
      <c r="S84" s="41" t="s">
        <v>161</v>
      </c>
      <c r="T84" s="80">
        <f t="shared" si="192"/>
        <v>46043</v>
      </c>
      <c r="U84" s="80">
        <f t="shared" si="210"/>
        <v>46043</v>
      </c>
      <c r="V84" s="41">
        <f t="shared" ca="1" si="193"/>
        <v>0</v>
      </c>
      <c r="W84" s="41" t="str">
        <f t="shared" ca="1" si="194"/>
        <v>NO PRAZO</v>
      </c>
      <c r="X84" s="80">
        <f t="shared" si="195"/>
        <v>46044</v>
      </c>
      <c r="Y84" s="80">
        <f t="shared" si="211"/>
        <v>46044</v>
      </c>
      <c r="Z84" s="41">
        <f t="shared" ca="1" si="196"/>
        <v>0</v>
      </c>
      <c r="AA84" s="41" t="str">
        <f t="shared" ca="1" si="197"/>
        <v>NO PRAZO</v>
      </c>
      <c r="AB84" s="80">
        <f t="shared" si="198"/>
        <v>46044</v>
      </c>
      <c r="AC84" s="80">
        <f t="shared" si="198"/>
        <v>46044</v>
      </c>
      <c r="AD84" s="41">
        <f t="shared" ca="1" si="199"/>
        <v>0</v>
      </c>
      <c r="AE84" s="41" t="str">
        <f t="shared" ca="1" si="200"/>
        <v>NO PRAZO</v>
      </c>
      <c r="AF84" s="80">
        <f t="shared" si="212"/>
        <v>46051</v>
      </c>
      <c r="AG84" s="80">
        <f t="shared" si="212"/>
        <v>46051</v>
      </c>
      <c r="AH84" s="41">
        <f t="shared" ca="1" si="202"/>
        <v>0</v>
      </c>
      <c r="AI84" s="41" t="str">
        <f t="shared" ca="1" si="203"/>
        <v>NO PRAZO</v>
      </c>
      <c r="AJ84" s="80">
        <f t="shared" si="213"/>
        <v>46052</v>
      </c>
      <c r="AK84" s="80">
        <f t="shared" si="213"/>
        <v>46052</v>
      </c>
      <c r="AL84" s="41">
        <f t="shared" ca="1" si="205"/>
        <v>0</v>
      </c>
      <c r="AM84" s="41" t="str">
        <f t="shared" ca="1" si="206"/>
        <v>NO PRAZO</v>
      </c>
      <c r="AN84" s="80">
        <f t="shared" si="214"/>
        <v>46053</v>
      </c>
      <c r="AO84" s="80">
        <f t="shared" si="214"/>
        <v>46053</v>
      </c>
      <c r="AP84" s="41">
        <f t="shared" ca="1" si="208"/>
        <v>0</v>
      </c>
      <c r="AQ84" s="41" t="str">
        <f t="shared" ca="1" si="209"/>
        <v>NO PRAZO</v>
      </c>
      <c r="AR84" s="80"/>
      <c r="AS84" s="80"/>
      <c r="AT84" s="80"/>
      <c r="AU84" s="85" t="s">
        <v>602</v>
      </c>
      <c r="AV84" s="41" t="s">
        <v>101</v>
      </c>
      <c r="AW84" s="41"/>
    </row>
    <row r="85" spans="2:49" x14ac:dyDescent="0.3">
      <c r="B85" s="69" t="str">
        <f>IF(Tabela1[[#This Row],[DATA]],PROPER(TEXT(Tabela1[[#This Row],[DATA]],"mmm")),"")</f>
        <v>Jan</v>
      </c>
      <c r="C85" s="80">
        <v>46046</v>
      </c>
      <c r="D85" s="80" t="str">
        <f t="shared" si="187"/>
        <v>Sábado</v>
      </c>
      <c r="E85" s="149">
        <v>0.40555555555555556</v>
      </c>
      <c r="F85" s="67" t="str">
        <f t="shared" si="188"/>
        <v>MANHÃ</v>
      </c>
      <c r="G85" s="80" t="s">
        <v>451</v>
      </c>
      <c r="H85" s="4" t="s">
        <v>491</v>
      </c>
      <c r="I85" s="41" t="s">
        <v>84</v>
      </c>
      <c r="J85" s="41" t="s">
        <v>261</v>
      </c>
      <c r="K85" s="41" t="s">
        <v>717</v>
      </c>
      <c r="L85" s="137" t="s">
        <v>452</v>
      </c>
      <c r="M85" s="41" t="s">
        <v>453</v>
      </c>
      <c r="N85" s="4" t="s">
        <v>675</v>
      </c>
      <c r="O85" s="41" t="s">
        <v>103</v>
      </c>
      <c r="P85" s="41" t="s">
        <v>104</v>
      </c>
      <c r="Q85" s="41" t="s">
        <v>5</v>
      </c>
      <c r="R85" s="41" t="s">
        <v>221</v>
      </c>
      <c r="S85" s="41" t="s">
        <v>516</v>
      </c>
      <c r="T85" s="80">
        <f t="shared" si="192"/>
        <v>46046</v>
      </c>
      <c r="U85" s="80">
        <f t="shared" si="210"/>
        <v>46046</v>
      </c>
      <c r="V85" s="41">
        <f t="shared" ca="1" si="193"/>
        <v>0</v>
      </c>
      <c r="W85" s="41" t="str">
        <f t="shared" ca="1" si="194"/>
        <v>NO PRAZO</v>
      </c>
      <c r="X85" s="80">
        <f t="shared" si="195"/>
        <v>46047</v>
      </c>
      <c r="Y85" s="80">
        <f t="shared" si="211"/>
        <v>46047</v>
      </c>
      <c r="Z85" s="41">
        <f t="shared" ca="1" si="196"/>
        <v>0</v>
      </c>
      <c r="AA85" s="41" t="str">
        <f t="shared" ca="1" si="197"/>
        <v>NO PRAZO</v>
      </c>
      <c r="AB85" s="80">
        <f t="shared" si="198"/>
        <v>46047</v>
      </c>
      <c r="AC85" s="80">
        <f t="shared" si="198"/>
        <v>46047</v>
      </c>
      <c r="AD85" s="41">
        <f t="shared" ca="1" si="199"/>
        <v>0</v>
      </c>
      <c r="AE85" s="41" t="str">
        <f t="shared" ca="1" si="200"/>
        <v>NO PRAZO</v>
      </c>
      <c r="AF85" s="80">
        <f t="shared" si="212"/>
        <v>46054</v>
      </c>
      <c r="AG85" s="80">
        <f t="shared" si="212"/>
        <v>46054</v>
      </c>
      <c r="AH85" s="41">
        <f t="shared" ca="1" si="202"/>
        <v>0</v>
      </c>
      <c r="AI85" s="41" t="str">
        <f t="shared" ca="1" si="203"/>
        <v>NO PRAZO</v>
      </c>
      <c r="AJ85" s="80">
        <f t="shared" si="213"/>
        <v>46055</v>
      </c>
      <c r="AK85" s="80">
        <f t="shared" si="213"/>
        <v>46055</v>
      </c>
      <c r="AL85" s="41">
        <f t="shared" ca="1" si="205"/>
        <v>0</v>
      </c>
      <c r="AM85" s="41" t="str">
        <f t="shared" ca="1" si="206"/>
        <v>NO PRAZO</v>
      </c>
      <c r="AN85" s="80">
        <f t="shared" si="214"/>
        <v>46056</v>
      </c>
      <c r="AO85" s="80">
        <f t="shared" si="214"/>
        <v>46056</v>
      </c>
      <c r="AP85" s="41">
        <f t="shared" ca="1" si="208"/>
        <v>0</v>
      </c>
      <c r="AQ85" s="41" t="str">
        <f t="shared" ca="1" si="209"/>
        <v>NO PRAZO</v>
      </c>
      <c r="AR85" s="80"/>
      <c r="AS85" s="80"/>
      <c r="AT85" s="80"/>
      <c r="AU85" s="85" t="s">
        <v>257</v>
      </c>
      <c r="AV85" s="41" t="s">
        <v>101</v>
      </c>
      <c r="AW85" s="41"/>
    </row>
    <row r="86" spans="2:49" ht="39.6" x14ac:dyDescent="0.3">
      <c r="B86" s="69" t="str">
        <f>IF(Tabela1[[#This Row],[DATA]],PROPER(TEXT(Tabela1[[#This Row],[DATA]],"mmm")),"")</f>
        <v>Jan</v>
      </c>
      <c r="C86" s="80">
        <v>46048</v>
      </c>
      <c r="D86" s="80" t="str">
        <f t="shared" si="187"/>
        <v>Segunda</v>
      </c>
      <c r="E86" s="149">
        <v>0.4375</v>
      </c>
      <c r="F86" s="67" t="str">
        <f t="shared" si="188"/>
        <v>MANHÃ</v>
      </c>
      <c r="G86" s="80" t="s">
        <v>474</v>
      </c>
      <c r="H86" s="4" t="s">
        <v>509</v>
      </c>
      <c r="I86" s="41" t="s">
        <v>222</v>
      </c>
      <c r="J86" s="41" t="s">
        <v>300</v>
      </c>
      <c r="K86" s="41" t="s">
        <v>697</v>
      </c>
      <c r="L86" s="137" t="s">
        <v>475</v>
      </c>
      <c r="M86" s="41" t="s">
        <v>476</v>
      </c>
      <c r="N86" s="4" t="s">
        <v>675</v>
      </c>
      <c r="O86" s="41" t="s">
        <v>118</v>
      </c>
      <c r="P86" s="41" t="s">
        <v>309</v>
      </c>
      <c r="Q86" s="41" t="s">
        <v>5</v>
      </c>
      <c r="R86" s="41" t="s">
        <v>29</v>
      </c>
      <c r="S86" s="41" t="s">
        <v>161</v>
      </c>
      <c r="T86" s="80">
        <f t="shared" si="192"/>
        <v>46048</v>
      </c>
      <c r="U86" s="80">
        <f t="shared" si="192"/>
        <v>46048</v>
      </c>
      <c r="V86" s="41">
        <f t="shared" ref="V86:V91" ca="1" si="215">IF($C86="","",IF(U86="",TODAY()-T86,U86-T86))</f>
        <v>0</v>
      </c>
      <c r="W86" s="41" t="str">
        <f t="shared" ref="W86:W91" ca="1" si="216">IF($C86="","",IF(AND($C86&lt;&gt;"",U86=""),IF(T86=TODAY(),"VENCE HOJE",IF(T86&lt;TODAY(),"ATRASADO","NO PRAZO")),IF(U86&lt;=T86,"NO PRAZO","ATRASADO")))</f>
        <v>NO PRAZO</v>
      </c>
      <c r="X86" s="80">
        <f t="shared" si="195"/>
        <v>46049</v>
      </c>
      <c r="Y86" s="80">
        <f t="shared" si="195"/>
        <v>46049</v>
      </c>
      <c r="Z86" s="41">
        <f t="shared" ref="Z86:Z91" ca="1" si="217">IF($C86="","",IF(Y86="",TODAY()-X86,Y86-X86))</f>
        <v>0</v>
      </c>
      <c r="AA86" s="41" t="str">
        <f t="shared" ref="AA86:AA91" ca="1" si="218">IF($C86="","",IF(AND($C86&lt;&gt;"",Y86=""),IF(X86=TODAY(),"VENCE HOJE",IF(X86&lt;TODAY(),"ATRASADO","NO PRAZO")),IF(Y86&lt;=X86,"NO PRAZO","ATRASADO")))</f>
        <v>NO PRAZO</v>
      </c>
      <c r="AB86" s="80">
        <f t="shared" ref="AB86:AB91" si="219">IF($C86="","",$C86+1)</f>
        <v>46049</v>
      </c>
      <c r="AC86" s="80">
        <f t="shared" si="198"/>
        <v>46049</v>
      </c>
      <c r="AD86" s="41">
        <f t="shared" ref="AD86:AD91" ca="1" si="220">IF($C86="","",IF(AC86="",TODAY()-AB86,AC86-AB86))</f>
        <v>0</v>
      </c>
      <c r="AE86" s="41" t="str">
        <f t="shared" ref="AE86:AE91" ca="1" si="221">IF($C86="","",IF(AND($C86&lt;&gt;"",AC86=""),IF(AB86=TODAY(),"VENCE HOJE",IF(AB86&lt;TODAY(),"ATRASADO","NO PRAZO")),IF(AC86&lt;=AB86,"NO PRAZO","ATRASADO")))</f>
        <v>NO PRAZO</v>
      </c>
      <c r="AF86" s="80">
        <f t="shared" si="212"/>
        <v>46056</v>
      </c>
      <c r="AG86" s="80">
        <f t="shared" si="212"/>
        <v>46056</v>
      </c>
      <c r="AH86" s="41">
        <f t="shared" ref="AH86:AH91" ca="1" si="222">IF($C86="","",IF(AG86="",TODAY()-AF86,AG86-AF86))</f>
        <v>0</v>
      </c>
      <c r="AI86" s="41" t="str">
        <f t="shared" ref="AI86:AI91" ca="1" si="223">IF($C86="","",IF(AND($C86&lt;&gt;"",AG86=""),IF(AF86=TODAY(),"VENCE HOJE",IF(AF86&lt;TODAY(),"ATRASADO","NO PRAZO")),IF(AG86&lt;=AF86,"NO PRAZO","ATRASADO")))</f>
        <v>NO PRAZO</v>
      </c>
      <c r="AJ86" s="80">
        <f t="shared" si="213"/>
        <v>46057</v>
      </c>
      <c r="AK86" s="80">
        <f t="shared" si="213"/>
        <v>46057</v>
      </c>
      <c r="AL86" s="41">
        <f t="shared" ref="AL86:AL91" ca="1" si="224">IF($C86="","",IF(AK86="",TODAY()-AJ86,AK86-AJ86))</f>
        <v>0</v>
      </c>
      <c r="AM86" s="41" t="str">
        <f t="shared" ref="AM86:AM91" ca="1" si="225">IF($C86="","",IF(AND($C86&lt;&gt;"",AK86=""),IF(AJ86=TODAY(),"VENCE HOJE",IF(AJ86&lt;TODAY(),"ATRASADO","NO PRAZO")),IF(AK86&lt;=AJ86,"NO PRAZO","ATRASADO")))</f>
        <v>NO PRAZO</v>
      </c>
      <c r="AN86" s="80">
        <f t="shared" ref="AN86:AO88" si="226">IF($C86="","",$C86+10)</f>
        <v>46058</v>
      </c>
      <c r="AO86" s="80">
        <f t="shared" si="226"/>
        <v>46058</v>
      </c>
      <c r="AP86" s="41">
        <f t="shared" ref="AP86:AP91" ca="1" si="227">IF($C86="","",IF(AO86="",TODAY()-AN86,AO86-AN86))</f>
        <v>0</v>
      </c>
      <c r="AQ86" s="41" t="str">
        <f t="shared" ref="AQ86:AQ91" ca="1" si="228">IF($C86="","",IF(AND($C86&lt;&gt;"",AO86=""),IF(AN86=TODAY(),"VENCE HOJE",IF(AN86&lt;TODAY(),"ATRASADO","NO PRAZO")),IF(AO86&lt;=AN86,"NO PRAZO","ATRASADO")))</f>
        <v>NO PRAZO</v>
      </c>
      <c r="AR86" s="80"/>
      <c r="AS86" s="80"/>
      <c r="AT86" s="80"/>
      <c r="AU86" s="71" t="s">
        <v>601</v>
      </c>
      <c r="AV86" s="41" t="s">
        <v>101</v>
      </c>
      <c r="AW86" s="41" t="s">
        <v>87</v>
      </c>
    </row>
    <row r="87" spans="2:49" ht="52.8" x14ac:dyDescent="0.3">
      <c r="B87" s="69" t="str">
        <f>IF(Tabela1[[#This Row],[DATA]],PROPER(TEXT(Tabela1[[#This Row],[DATA]],"mmm")),"")</f>
        <v>Jan</v>
      </c>
      <c r="C87" s="80">
        <v>46049</v>
      </c>
      <c r="D87" s="80" t="str">
        <f t="shared" si="187"/>
        <v>Terça</v>
      </c>
      <c r="E87" s="149">
        <v>0.38124999999999998</v>
      </c>
      <c r="F87" s="67" t="str">
        <f t="shared" si="188"/>
        <v>MANHÃ</v>
      </c>
      <c r="G87" s="80" t="s">
        <v>477</v>
      </c>
      <c r="H87" s="4" t="s">
        <v>479</v>
      </c>
      <c r="I87" s="89" t="s">
        <v>115</v>
      </c>
      <c r="J87" s="41" t="s">
        <v>300</v>
      </c>
      <c r="K87" s="41" t="s">
        <v>696</v>
      </c>
      <c r="L87" s="137" t="s">
        <v>478</v>
      </c>
      <c r="M87" s="41" t="s">
        <v>287</v>
      </c>
      <c r="N87" s="4" t="s">
        <v>676</v>
      </c>
      <c r="O87" s="41" t="s">
        <v>135</v>
      </c>
      <c r="P87" s="41" t="s">
        <v>26</v>
      </c>
      <c r="Q87" s="41" t="s">
        <v>5</v>
      </c>
      <c r="R87" s="41" t="s">
        <v>29</v>
      </c>
      <c r="S87" s="41" t="s">
        <v>161</v>
      </c>
      <c r="T87" s="80">
        <f t="shared" si="192"/>
        <v>46049</v>
      </c>
      <c r="U87" s="80">
        <f t="shared" si="192"/>
        <v>46049</v>
      </c>
      <c r="V87" s="41">
        <f t="shared" ca="1" si="215"/>
        <v>0</v>
      </c>
      <c r="W87" s="41" t="str">
        <f t="shared" ca="1" si="216"/>
        <v>NO PRAZO</v>
      </c>
      <c r="X87" s="80">
        <f t="shared" si="195"/>
        <v>46050</v>
      </c>
      <c r="Y87" s="80">
        <f t="shared" si="195"/>
        <v>46050</v>
      </c>
      <c r="Z87" s="41">
        <f t="shared" ca="1" si="217"/>
        <v>0</v>
      </c>
      <c r="AA87" s="41" t="str">
        <f t="shared" ca="1" si="218"/>
        <v>NO PRAZO</v>
      </c>
      <c r="AB87" s="80">
        <f t="shared" si="219"/>
        <v>46050</v>
      </c>
      <c r="AC87" s="80">
        <f t="shared" si="198"/>
        <v>46050</v>
      </c>
      <c r="AD87" s="41">
        <f t="shared" ca="1" si="220"/>
        <v>0</v>
      </c>
      <c r="AE87" s="41" t="str">
        <f t="shared" ca="1" si="221"/>
        <v>NO PRAZO</v>
      </c>
      <c r="AF87" s="80">
        <f t="shared" si="212"/>
        <v>46057</v>
      </c>
      <c r="AG87" s="80">
        <f t="shared" si="212"/>
        <v>46057</v>
      </c>
      <c r="AH87" s="41">
        <f t="shared" ca="1" si="222"/>
        <v>0</v>
      </c>
      <c r="AI87" s="41" t="str">
        <f t="shared" ca="1" si="223"/>
        <v>NO PRAZO</v>
      </c>
      <c r="AJ87" s="80">
        <f t="shared" si="213"/>
        <v>46058</v>
      </c>
      <c r="AK87" s="80">
        <f t="shared" si="213"/>
        <v>46058</v>
      </c>
      <c r="AL87" s="41">
        <f t="shared" ca="1" si="224"/>
        <v>0</v>
      </c>
      <c r="AM87" s="41" t="str">
        <f t="shared" ca="1" si="225"/>
        <v>NO PRAZO</v>
      </c>
      <c r="AN87" s="80">
        <f t="shared" si="226"/>
        <v>46059</v>
      </c>
      <c r="AO87" s="80">
        <f t="shared" si="226"/>
        <v>46059</v>
      </c>
      <c r="AP87" s="41">
        <f t="shared" ca="1" si="227"/>
        <v>0</v>
      </c>
      <c r="AQ87" s="41" t="str">
        <f t="shared" ca="1" si="228"/>
        <v>NO PRAZO</v>
      </c>
      <c r="AR87" s="80"/>
      <c r="AS87" s="80"/>
      <c r="AT87" s="80"/>
      <c r="AU87" s="71" t="s">
        <v>601</v>
      </c>
      <c r="AV87" s="41" t="s">
        <v>101</v>
      </c>
      <c r="AW87" s="41" t="s">
        <v>87</v>
      </c>
    </row>
    <row r="88" spans="2:49" ht="26.4" x14ac:dyDescent="0.3">
      <c r="B88" s="69" t="str">
        <f>IF(Tabela1[[#This Row],[DATA]],PROPER(TEXT(Tabela1[[#This Row],[DATA]],"mmm")),"")</f>
        <v>Jan</v>
      </c>
      <c r="C88" s="80">
        <v>46053</v>
      </c>
      <c r="D88" s="80" t="str">
        <f t="shared" si="187"/>
        <v>Sábado</v>
      </c>
      <c r="E88" s="149">
        <v>0.64583333333333337</v>
      </c>
      <c r="F88" s="67" t="str">
        <f t="shared" si="188"/>
        <v>TARDE</v>
      </c>
      <c r="G88" s="80" t="s">
        <v>471</v>
      </c>
      <c r="H88" s="4" t="s">
        <v>473</v>
      </c>
      <c r="I88" s="41" t="s">
        <v>24</v>
      </c>
      <c r="J88" s="41" t="s">
        <v>300</v>
      </c>
      <c r="K88" s="41" t="s">
        <v>698</v>
      </c>
      <c r="L88" s="92" t="s">
        <v>472</v>
      </c>
      <c r="M88" s="41" t="s">
        <v>102</v>
      </c>
      <c r="N88" s="4" t="s">
        <v>676</v>
      </c>
      <c r="O88" s="41" t="s">
        <v>113</v>
      </c>
      <c r="P88" s="41" t="s">
        <v>93</v>
      </c>
      <c r="Q88" s="41" t="s">
        <v>5</v>
      </c>
      <c r="R88" s="41" t="s">
        <v>29</v>
      </c>
      <c r="S88" s="41" t="s">
        <v>161</v>
      </c>
      <c r="T88" s="80">
        <f t="shared" si="192"/>
        <v>46053</v>
      </c>
      <c r="U88" s="80">
        <f t="shared" si="192"/>
        <v>46053</v>
      </c>
      <c r="V88" s="41">
        <f t="shared" ca="1" si="215"/>
        <v>0</v>
      </c>
      <c r="W88" s="41" t="str">
        <f t="shared" ca="1" si="216"/>
        <v>NO PRAZO</v>
      </c>
      <c r="X88" s="80">
        <f t="shared" si="195"/>
        <v>46054</v>
      </c>
      <c r="Y88" s="80">
        <f t="shared" si="195"/>
        <v>46054</v>
      </c>
      <c r="Z88" s="41">
        <f t="shared" ca="1" si="217"/>
        <v>0</v>
      </c>
      <c r="AA88" s="41" t="str">
        <f t="shared" ca="1" si="218"/>
        <v>NO PRAZO</v>
      </c>
      <c r="AB88" s="80">
        <f t="shared" si="219"/>
        <v>46054</v>
      </c>
      <c r="AC88" s="80">
        <f t="shared" si="198"/>
        <v>46054</v>
      </c>
      <c r="AD88" s="41">
        <f t="shared" ca="1" si="220"/>
        <v>0</v>
      </c>
      <c r="AE88" s="41" t="str">
        <f t="shared" ca="1" si="221"/>
        <v>NO PRAZO</v>
      </c>
      <c r="AF88" s="80">
        <f t="shared" ref="AF88:AG91" si="229">IF($C88="","",$C88+8)</f>
        <v>46061</v>
      </c>
      <c r="AG88" s="80">
        <f t="shared" si="229"/>
        <v>46061</v>
      </c>
      <c r="AH88" s="41">
        <f t="shared" ca="1" si="222"/>
        <v>0</v>
      </c>
      <c r="AI88" s="41" t="str">
        <f t="shared" ca="1" si="223"/>
        <v>NO PRAZO</v>
      </c>
      <c r="AJ88" s="80">
        <f t="shared" ref="AJ88:AK91" si="230">IF($C88="","",$C88+9)</f>
        <v>46062</v>
      </c>
      <c r="AK88" s="80">
        <f t="shared" si="230"/>
        <v>46062</v>
      </c>
      <c r="AL88" s="41">
        <f t="shared" ca="1" si="224"/>
        <v>0</v>
      </c>
      <c r="AM88" s="41" t="str">
        <f t="shared" ca="1" si="225"/>
        <v>NO PRAZO</v>
      </c>
      <c r="AN88" s="80">
        <f t="shared" si="226"/>
        <v>46063</v>
      </c>
      <c r="AO88" s="80">
        <f t="shared" si="226"/>
        <v>46063</v>
      </c>
      <c r="AP88" s="41">
        <f t="shared" ca="1" si="227"/>
        <v>0</v>
      </c>
      <c r="AQ88" s="41" t="str">
        <f t="shared" ca="1" si="228"/>
        <v>NO PRAZO</v>
      </c>
      <c r="AR88" s="80"/>
      <c r="AS88" s="80"/>
      <c r="AT88" s="80"/>
      <c r="AU88" s="71" t="s">
        <v>601</v>
      </c>
      <c r="AV88" s="41" t="s">
        <v>101</v>
      </c>
      <c r="AW88" s="41" t="s">
        <v>87</v>
      </c>
    </row>
    <row r="89" spans="2:49" ht="39.6" x14ac:dyDescent="0.3">
      <c r="B89" s="69" t="str">
        <f>IF(Tabela1[[#This Row],[DATA]],PROPER(TEXT(Tabela1[[#This Row],[DATA]],"mmm")),"")</f>
        <v>Fev</v>
      </c>
      <c r="C89" s="93">
        <v>46062</v>
      </c>
      <c r="D89" s="93" t="str">
        <f t="shared" si="187"/>
        <v>Segunda</v>
      </c>
      <c r="E89" s="155">
        <v>0.57638888888888884</v>
      </c>
      <c r="F89" s="67" t="str">
        <f t="shared" si="188"/>
        <v>TARDE</v>
      </c>
      <c r="G89" s="93" t="s">
        <v>512</v>
      </c>
      <c r="H89" s="94" t="s">
        <v>6</v>
      </c>
      <c r="I89" s="94" t="s">
        <v>84</v>
      </c>
      <c r="J89" s="41" t="s">
        <v>300</v>
      </c>
      <c r="K89" s="41" t="s">
        <v>698</v>
      </c>
      <c r="L89" s="95" t="s">
        <v>513</v>
      </c>
      <c r="M89" s="94" t="s">
        <v>514</v>
      </c>
      <c r="N89" s="4" t="s">
        <v>676</v>
      </c>
      <c r="O89" s="94" t="s">
        <v>515</v>
      </c>
      <c r="P89" s="94" t="s">
        <v>97</v>
      </c>
      <c r="Q89" s="94" t="s">
        <v>5</v>
      </c>
      <c r="R89" s="94" t="s">
        <v>29</v>
      </c>
      <c r="S89" s="94" t="s">
        <v>161</v>
      </c>
      <c r="T89" s="93">
        <f t="shared" ref="T89:U91" si="231">IF($C89="","",$C89)</f>
        <v>46062</v>
      </c>
      <c r="U89" s="93">
        <f t="shared" si="231"/>
        <v>46062</v>
      </c>
      <c r="V89" s="94">
        <f t="shared" ca="1" si="215"/>
        <v>0</v>
      </c>
      <c r="W89" s="94" t="str">
        <f t="shared" ca="1" si="216"/>
        <v>NO PRAZO</v>
      </c>
      <c r="X89" s="93">
        <f t="shared" ref="X89:Y91" si="232">IF($C89="","",$C89+1)</f>
        <v>46063</v>
      </c>
      <c r="Y89" s="93">
        <f t="shared" si="232"/>
        <v>46063</v>
      </c>
      <c r="Z89" s="94">
        <f t="shared" ca="1" si="217"/>
        <v>0</v>
      </c>
      <c r="AA89" s="94" t="str">
        <f t="shared" ca="1" si="218"/>
        <v>NO PRAZO</v>
      </c>
      <c r="AB89" s="93">
        <f t="shared" si="219"/>
        <v>46063</v>
      </c>
      <c r="AC89" s="93">
        <f t="shared" ref="AC89:AC94" si="233">IF($C89="","",$C89+1)</f>
        <v>46063</v>
      </c>
      <c r="AD89" s="94">
        <f t="shared" ca="1" si="220"/>
        <v>0</v>
      </c>
      <c r="AE89" s="94" t="str">
        <f t="shared" ca="1" si="221"/>
        <v>NO PRAZO</v>
      </c>
      <c r="AF89" s="93">
        <f t="shared" si="229"/>
        <v>46070</v>
      </c>
      <c r="AG89" s="93">
        <f t="shared" si="229"/>
        <v>46070</v>
      </c>
      <c r="AH89" s="94">
        <f t="shared" ca="1" si="222"/>
        <v>0</v>
      </c>
      <c r="AI89" s="94" t="str">
        <f t="shared" ca="1" si="223"/>
        <v>NO PRAZO</v>
      </c>
      <c r="AJ89" s="93">
        <f t="shared" si="230"/>
        <v>46071</v>
      </c>
      <c r="AK89" s="93">
        <f t="shared" si="230"/>
        <v>46071</v>
      </c>
      <c r="AL89" s="94">
        <f t="shared" ca="1" si="224"/>
        <v>0</v>
      </c>
      <c r="AM89" s="94" t="str">
        <f t="shared" ca="1" si="225"/>
        <v>NO PRAZO</v>
      </c>
      <c r="AN89" s="93">
        <f t="shared" ref="AN89:AO91" si="234">IF($C89="","",$C89+10)</f>
        <v>46072</v>
      </c>
      <c r="AO89" s="93">
        <f t="shared" si="234"/>
        <v>46072</v>
      </c>
      <c r="AP89" s="94">
        <f t="shared" ca="1" si="227"/>
        <v>0</v>
      </c>
      <c r="AQ89" s="94" t="str">
        <f t="shared" ca="1" si="228"/>
        <v>NO PRAZO</v>
      </c>
      <c r="AR89" s="93"/>
      <c r="AS89" s="93"/>
      <c r="AT89" s="93"/>
      <c r="AU89" s="71" t="s">
        <v>601</v>
      </c>
      <c r="AV89" s="94" t="s">
        <v>101</v>
      </c>
      <c r="AW89" s="94" t="s">
        <v>87</v>
      </c>
    </row>
    <row r="90" spans="2:49" ht="26.4" x14ac:dyDescent="0.3">
      <c r="B90" s="69" t="str">
        <f>IF(Tabela1[[#This Row],[DATA]],PROPER(TEXT(Tabela1[[#This Row],[DATA]],"mmm")),"")</f>
        <v>Fev</v>
      </c>
      <c r="C90" s="93">
        <v>46070</v>
      </c>
      <c r="D90" s="93" t="str">
        <f t="shared" si="187"/>
        <v>Terça</v>
      </c>
      <c r="E90" s="155">
        <v>0.5</v>
      </c>
      <c r="F90" s="67" t="str">
        <f t="shared" si="188"/>
        <v>MANHÃ</v>
      </c>
      <c r="G90" s="93" t="s">
        <v>517</v>
      </c>
      <c r="H90" s="94" t="s">
        <v>547</v>
      </c>
      <c r="I90" s="94" t="s">
        <v>518</v>
      </c>
      <c r="J90" s="41" t="s">
        <v>300</v>
      </c>
      <c r="K90" s="41" t="s">
        <v>696</v>
      </c>
      <c r="L90" s="95" t="s">
        <v>519</v>
      </c>
      <c r="M90" s="94" t="s">
        <v>170</v>
      </c>
      <c r="N90" s="4" t="s">
        <v>675</v>
      </c>
      <c r="O90" s="94" t="s">
        <v>25</v>
      </c>
      <c r="P90" s="94" t="s">
        <v>26</v>
      </c>
      <c r="Q90" s="94" t="s">
        <v>5</v>
      </c>
      <c r="R90" s="94" t="s">
        <v>29</v>
      </c>
      <c r="S90" s="94" t="s">
        <v>161</v>
      </c>
      <c r="T90" s="93">
        <f t="shared" si="231"/>
        <v>46070</v>
      </c>
      <c r="U90" s="93">
        <f t="shared" si="231"/>
        <v>46070</v>
      </c>
      <c r="V90" s="94">
        <f t="shared" ca="1" si="215"/>
        <v>0</v>
      </c>
      <c r="W90" s="94" t="str">
        <f t="shared" ca="1" si="216"/>
        <v>NO PRAZO</v>
      </c>
      <c r="X90" s="93">
        <f t="shared" si="232"/>
        <v>46071</v>
      </c>
      <c r="Y90" s="93">
        <f t="shared" si="232"/>
        <v>46071</v>
      </c>
      <c r="Z90" s="94">
        <f t="shared" ca="1" si="217"/>
        <v>0</v>
      </c>
      <c r="AA90" s="94" t="str">
        <f t="shared" ca="1" si="218"/>
        <v>NO PRAZO</v>
      </c>
      <c r="AB90" s="93">
        <f t="shared" si="219"/>
        <v>46071</v>
      </c>
      <c r="AC90" s="93">
        <f t="shared" si="233"/>
        <v>46071</v>
      </c>
      <c r="AD90" s="94">
        <f t="shared" ca="1" si="220"/>
        <v>0</v>
      </c>
      <c r="AE90" s="94" t="str">
        <f t="shared" ca="1" si="221"/>
        <v>NO PRAZO</v>
      </c>
      <c r="AF90" s="93">
        <f t="shared" si="229"/>
        <v>46078</v>
      </c>
      <c r="AG90" s="93">
        <f t="shared" si="229"/>
        <v>46078</v>
      </c>
      <c r="AH90" s="94">
        <f t="shared" ca="1" si="222"/>
        <v>0</v>
      </c>
      <c r="AI90" s="94" t="str">
        <f t="shared" ca="1" si="223"/>
        <v>NO PRAZO</v>
      </c>
      <c r="AJ90" s="93">
        <f t="shared" si="230"/>
        <v>46079</v>
      </c>
      <c r="AK90" s="93">
        <f t="shared" si="230"/>
        <v>46079</v>
      </c>
      <c r="AL90" s="94">
        <f t="shared" ca="1" si="224"/>
        <v>0</v>
      </c>
      <c r="AM90" s="94" t="str">
        <f t="shared" ca="1" si="225"/>
        <v>NO PRAZO</v>
      </c>
      <c r="AN90" s="93">
        <f t="shared" si="234"/>
        <v>46080</v>
      </c>
      <c r="AO90" s="93">
        <f t="shared" si="234"/>
        <v>46080</v>
      </c>
      <c r="AP90" s="94">
        <f t="shared" ca="1" si="227"/>
        <v>0</v>
      </c>
      <c r="AQ90" s="94" t="str">
        <f t="shared" ca="1" si="228"/>
        <v>NO PRAZO</v>
      </c>
      <c r="AR90" s="93"/>
      <c r="AS90" s="93"/>
      <c r="AT90" s="93"/>
      <c r="AU90" s="71" t="s">
        <v>601</v>
      </c>
      <c r="AV90" s="94" t="s">
        <v>101</v>
      </c>
      <c r="AW90" s="94" t="s">
        <v>101</v>
      </c>
    </row>
    <row r="91" spans="2:49" ht="66" x14ac:dyDescent="0.3">
      <c r="B91" s="69" t="str">
        <f>IF(Tabela1[[#This Row],[DATA]],PROPER(TEXT(Tabela1[[#This Row],[DATA]],"mmm")),"")</f>
        <v>Fev</v>
      </c>
      <c r="C91" s="93">
        <v>46072</v>
      </c>
      <c r="D91" s="93" t="str">
        <f t="shared" si="187"/>
        <v>Quinta</v>
      </c>
      <c r="E91" s="155">
        <v>0.39583333333333331</v>
      </c>
      <c r="F91" s="67" t="str">
        <f t="shared" si="188"/>
        <v>MANHÃ</v>
      </c>
      <c r="G91" s="93" t="s">
        <v>520</v>
      </c>
      <c r="H91" s="94" t="s">
        <v>551</v>
      </c>
      <c r="I91" s="94" t="s">
        <v>84</v>
      </c>
      <c r="J91" s="41" t="s">
        <v>300</v>
      </c>
      <c r="K91" s="41" t="s">
        <v>696</v>
      </c>
      <c r="L91" s="95" t="s">
        <v>521</v>
      </c>
      <c r="M91" s="94" t="s">
        <v>202</v>
      </c>
      <c r="N91" s="4" t="s">
        <v>675</v>
      </c>
      <c r="O91" s="94" t="s">
        <v>165</v>
      </c>
      <c r="P91" s="94" t="s">
        <v>79</v>
      </c>
      <c r="Q91" s="94" t="s">
        <v>5</v>
      </c>
      <c r="R91" s="94" t="s">
        <v>29</v>
      </c>
      <c r="S91" s="94" t="s">
        <v>161</v>
      </c>
      <c r="T91" s="93">
        <f t="shared" si="231"/>
        <v>46072</v>
      </c>
      <c r="U91" s="93">
        <f t="shared" si="231"/>
        <v>46072</v>
      </c>
      <c r="V91" s="94">
        <f t="shared" ca="1" si="215"/>
        <v>0</v>
      </c>
      <c r="W91" s="94" t="str">
        <f t="shared" ca="1" si="216"/>
        <v>NO PRAZO</v>
      </c>
      <c r="X91" s="93">
        <f t="shared" si="232"/>
        <v>46073</v>
      </c>
      <c r="Y91" s="93">
        <f t="shared" si="232"/>
        <v>46073</v>
      </c>
      <c r="Z91" s="94">
        <f t="shared" ca="1" si="217"/>
        <v>0</v>
      </c>
      <c r="AA91" s="94" t="str">
        <f t="shared" ca="1" si="218"/>
        <v>NO PRAZO</v>
      </c>
      <c r="AB91" s="93">
        <f t="shared" si="219"/>
        <v>46073</v>
      </c>
      <c r="AC91" s="93">
        <f t="shared" si="233"/>
        <v>46073</v>
      </c>
      <c r="AD91" s="94">
        <f t="shared" ca="1" si="220"/>
        <v>0</v>
      </c>
      <c r="AE91" s="94" t="str">
        <f t="shared" ca="1" si="221"/>
        <v>NO PRAZO</v>
      </c>
      <c r="AF91" s="93">
        <f t="shared" si="229"/>
        <v>46080</v>
      </c>
      <c r="AG91" s="93">
        <f t="shared" si="229"/>
        <v>46080</v>
      </c>
      <c r="AH91" s="94">
        <f t="shared" ca="1" si="222"/>
        <v>0</v>
      </c>
      <c r="AI91" s="94" t="str">
        <f t="shared" ca="1" si="223"/>
        <v>NO PRAZO</v>
      </c>
      <c r="AJ91" s="93">
        <f t="shared" si="230"/>
        <v>46081</v>
      </c>
      <c r="AK91" s="93">
        <f t="shared" si="230"/>
        <v>46081</v>
      </c>
      <c r="AL91" s="94">
        <f t="shared" ca="1" si="224"/>
        <v>0</v>
      </c>
      <c r="AM91" s="94" t="str">
        <f t="shared" ca="1" si="225"/>
        <v>NO PRAZO</v>
      </c>
      <c r="AN91" s="93">
        <f t="shared" si="234"/>
        <v>46082</v>
      </c>
      <c r="AO91" s="93">
        <f t="shared" si="234"/>
        <v>46082</v>
      </c>
      <c r="AP91" s="94">
        <f t="shared" ca="1" si="227"/>
        <v>0</v>
      </c>
      <c r="AQ91" s="94" t="str">
        <f t="shared" ca="1" si="228"/>
        <v>NO PRAZO</v>
      </c>
      <c r="AR91" s="93"/>
      <c r="AS91" s="93"/>
      <c r="AT91" s="93"/>
      <c r="AU91" s="71" t="s">
        <v>601</v>
      </c>
      <c r="AV91" s="94" t="s">
        <v>101</v>
      </c>
      <c r="AW91" s="94" t="s">
        <v>87</v>
      </c>
    </row>
    <row r="92" spans="2:49" ht="26.4" x14ac:dyDescent="0.3">
      <c r="B92" s="69" t="str">
        <f>IF(Tabela1[[#This Row],[DATA]],PROPER(TEXT(Tabela1[[#This Row],[DATA]],"mmm")),"")</f>
        <v>Fev</v>
      </c>
      <c r="C92" s="93">
        <v>46076</v>
      </c>
      <c r="D92" s="93" t="str">
        <f>CHOOSE(WEEKDAY(C92, 2), "Segunda", "Terça", "Quarta", "Quinta", "Sexta", "Sábado", "Domingo")</f>
        <v>Segunda</v>
      </c>
      <c r="E92" s="155">
        <v>0.3125</v>
      </c>
      <c r="F92" s="67" t="str">
        <f>IF(E92="", "", IF(E92&lt;TIME(6,0,0), "NOITE", IF(E92&lt;=TIME(12,0,0), "MANHÃ", IF(E92&lt;TIME(18,0,0), "TARDE", "NOITE"))))</f>
        <v>MANHÃ</v>
      </c>
      <c r="G92" s="80" t="s">
        <v>713</v>
      </c>
      <c r="H92" s="41" t="s">
        <v>714</v>
      </c>
      <c r="I92" s="41" t="s">
        <v>24</v>
      </c>
      <c r="J92" s="41" t="s">
        <v>300</v>
      </c>
      <c r="K92" s="41" t="s">
        <v>698</v>
      </c>
      <c r="L92" s="95" t="s">
        <v>715</v>
      </c>
      <c r="M92" s="41" t="s">
        <v>329</v>
      </c>
      <c r="N92" s="4" t="s">
        <v>676</v>
      </c>
      <c r="O92" s="41" t="s">
        <v>118</v>
      </c>
      <c r="P92" s="41" t="s">
        <v>309</v>
      </c>
      <c r="Q92" s="94" t="s">
        <v>5</v>
      </c>
      <c r="R92" s="94" t="s">
        <v>29</v>
      </c>
      <c r="S92" s="41" t="s">
        <v>161</v>
      </c>
      <c r="T92" s="93">
        <f>IF($C92="","",$C92)</f>
        <v>46076</v>
      </c>
      <c r="U92" s="93">
        <f>IF($C92="","",$C92)</f>
        <v>46076</v>
      </c>
      <c r="V92" s="94">
        <f ca="1">IF($C92="","",IF(U92="",TODAY()-T92,U92-T92))</f>
        <v>0</v>
      </c>
      <c r="W92" s="94" t="str">
        <f ca="1">IF($C92="","",IF(AND($C92&lt;&gt;"",U92=""),IF(T92=TODAY(),"VENCE HOJE",IF(T92&lt;TODAY(),"ATRASADO","NO PRAZO")),IF(U92&lt;=T92,"NO PRAZO","ATRASADO")))</f>
        <v>NO PRAZO</v>
      </c>
      <c r="X92" s="93">
        <f>IF($C92="","",$C92+1)</f>
        <v>46077</v>
      </c>
      <c r="Y92" s="93">
        <f>IF($C92="","",$C92+1)</f>
        <v>46077</v>
      </c>
      <c r="Z92" s="94">
        <f ca="1">IF($C92="","",IF(Y92="",TODAY()-X92,Y92-X92))</f>
        <v>0</v>
      </c>
      <c r="AA92" s="94" t="str">
        <f ca="1">IF($C92="","",IF(AND($C92&lt;&gt;"",Y92=""),IF(X92=TODAY(),"VENCE HOJE",IF(X92&lt;TODAY(),"ATRASADO","NO PRAZO")),IF(Y92&lt;=X92,"NO PRAZO","ATRASADO")))</f>
        <v>NO PRAZO</v>
      </c>
      <c r="AB92" s="93">
        <f>IF($C92="","",$C92+1)</f>
        <v>46077</v>
      </c>
      <c r="AC92" s="93">
        <f>IF($C92="","",$C92+1)</f>
        <v>46077</v>
      </c>
      <c r="AD92" s="94">
        <f ca="1">IF($C92="","",IF(AC92="",TODAY()-AB92,AC92-AB92))</f>
        <v>0</v>
      </c>
      <c r="AE92" s="94" t="str">
        <f ca="1">IF($C92="","",IF(AND($C92&lt;&gt;"",AC92=""),IF(AB92=TODAY(),"VENCE HOJE",IF(AB92&lt;TODAY(),"ATRASADO","NO PRAZO")),IF(AC92&lt;=AB92,"NO PRAZO","ATRASADO")))</f>
        <v>NO PRAZO</v>
      </c>
      <c r="AF92" s="93">
        <f>IF($C92="","",$C92+8)</f>
        <v>46084</v>
      </c>
      <c r="AG92" s="93">
        <f>IF($C92="","",$C92+8)</f>
        <v>46084</v>
      </c>
      <c r="AH92" s="94">
        <f ca="1">IF($C92="","",IF(AG92="",TODAY()-AF92,AG92-AF92))</f>
        <v>0</v>
      </c>
      <c r="AI92" s="94" t="str">
        <f ca="1">IF($C92="","",IF(AND($C92&lt;&gt;"",AG92=""),IF(AF92=TODAY(),"VENCE HOJE",IF(AF92&lt;TODAY(),"ATRASADO","NO PRAZO")),IF(AG92&lt;=AF92,"NO PRAZO","ATRASADO")))</f>
        <v>NO PRAZO</v>
      </c>
      <c r="AJ92" s="93">
        <f>IF($C92="","",$C92+9)</f>
        <v>46085</v>
      </c>
      <c r="AK92" s="93">
        <f>IF($C92="","",$C92+9)</f>
        <v>46085</v>
      </c>
      <c r="AL92" s="94">
        <f ca="1">IF($C92="","",IF(AK92="",TODAY()-AJ92,AK92-AJ92))</f>
        <v>0</v>
      </c>
      <c r="AM92" s="94" t="str">
        <f ca="1">IF($C92="","",IF(AND($C92&lt;&gt;"",AK92=""),IF(AJ92=TODAY(),"VENCE HOJE",IF(AJ92&lt;TODAY(),"ATRASADO","NO PRAZO")),IF(AK92&lt;=AJ92,"NO PRAZO","ATRASADO")))</f>
        <v>NO PRAZO</v>
      </c>
      <c r="AN92" s="93">
        <f>IF($C92="","",$C92+10)</f>
        <v>46086</v>
      </c>
      <c r="AO92" s="93">
        <f>IF($C92="","",$C92+10)</f>
        <v>46086</v>
      </c>
      <c r="AP92" s="94">
        <f ca="1">IF($C92="","",IF(AO92="",TODAY()-AN92,AO92-AN92))</f>
        <v>0</v>
      </c>
      <c r="AQ92" s="94" t="str">
        <f ca="1">IF($C92="","",IF(AND($C92&lt;&gt;"",AO92=""),IF(AN92=TODAY(),"VENCE HOJE",IF(AN92&lt;TODAY(),"ATRASADO","NO PRAZO")),IF(AO92&lt;=AN92,"NO PRAZO","ATRASADO")))</f>
        <v>NO PRAZO</v>
      </c>
      <c r="AR92" s="93"/>
      <c r="AS92" s="93"/>
      <c r="AT92" s="93"/>
      <c r="AU92" s="71" t="s">
        <v>601</v>
      </c>
      <c r="AV92" s="41" t="s">
        <v>101</v>
      </c>
      <c r="AW92" s="41" t="s">
        <v>87</v>
      </c>
    </row>
    <row r="93" spans="2:49" ht="26.4" x14ac:dyDescent="0.3">
      <c r="B93" s="69" t="str">
        <f>IF(Tabela1[[#This Row],[DATA]],PROPER(TEXT(Tabela1[[#This Row],[DATA]],"mmm")),"")</f>
        <v>Fev</v>
      </c>
      <c r="C93" s="93">
        <v>46077</v>
      </c>
      <c r="D93" s="93" t="str">
        <f t="shared" si="187"/>
        <v>Terça</v>
      </c>
      <c r="E93" s="155">
        <v>0.54861111111111116</v>
      </c>
      <c r="F93" s="67" t="str">
        <f t="shared" si="188"/>
        <v>TARDE</v>
      </c>
      <c r="G93" s="93" t="s">
        <v>532</v>
      </c>
      <c r="H93" s="94" t="s">
        <v>503</v>
      </c>
      <c r="I93" s="89" t="s">
        <v>115</v>
      </c>
      <c r="J93" s="41" t="s">
        <v>300</v>
      </c>
      <c r="K93" s="41" t="s">
        <v>712</v>
      </c>
      <c r="L93" s="95" t="s">
        <v>716</v>
      </c>
      <c r="M93" s="41" t="s">
        <v>287</v>
      </c>
      <c r="N93" s="4" t="s">
        <v>676</v>
      </c>
      <c r="O93" s="94" t="s">
        <v>522</v>
      </c>
      <c r="P93" s="94" t="s">
        <v>79</v>
      </c>
      <c r="Q93" s="94" t="s">
        <v>5</v>
      </c>
      <c r="R93" s="94" t="s">
        <v>29</v>
      </c>
      <c r="S93" s="94" t="s">
        <v>161</v>
      </c>
      <c r="T93" s="93">
        <f t="shared" ref="T93:U94" si="235">IF($C93="","",$C93)</f>
        <v>46077</v>
      </c>
      <c r="U93" s="93">
        <f t="shared" si="235"/>
        <v>46077</v>
      </c>
      <c r="V93" s="94">
        <f t="shared" ref="V93:V98" ca="1" si="236">IF($C93="","",IF(U93="",TODAY()-T93,U93-T93))</f>
        <v>0</v>
      </c>
      <c r="W93" s="94" t="str">
        <f t="shared" ref="W93:W98" ca="1" si="237">IF($C93="","",IF(AND($C93&lt;&gt;"",U93=""),IF(T93=TODAY(),"VENCE HOJE",IF(T93&lt;TODAY(),"ATRASADO","NO PRAZO")),IF(U93&lt;=T93,"NO PRAZO","ATRASADO")))</f>
        <v>NO PRAZO</v>
      </c>
      <c r="X93" s="93">
        <f t="shared" ref="X93:Y94" si="238">IF($C93="","",$C93+1)</f>
        <v>46078</v>
      </c>
      <c r="Y93" s="93">
        <f t="shared" si="238"/>
        <v>46078</v>
      </c>
      <c r="Z93" s="94">
        <f t="shared" ref="Z93:Z98" ca="1" si="239">IF($C93="","",IF(Y93="",TODAY()-X93,Y93-X93))</f>
        <v>0</v>
      </c>
      <c r="AA93" s="94" t="str">
        <f t="shared" ref="AA93:AA98" ca="1" si="240">IF($C93="","",IF(AND($C93&lt;&gt;"",Y93=""),IF(X93=TODAY(),"VENCE HOJE",IF(X93&lt;TODAY(),"ATRASADO","NO PRAZO")),IF(Y93&lt;=X93,"NO PRAZO","ATRASADO")))</f>
        <v>NO PRAZO</v>
      </c>
      <c r="AB93" s="93">
        <f t="shared" ref="AB93:AB98" si="241">IF($C93="","",$C93+1)</f>
        <v>46078</v>
      </c>
      <c r="AC93" s="93">
        <f t="shared" si="233"/>
        <v>46078</v>
      </c>
      <c r="AD93" s="94">
        <f t="shared" ref="AD93:AD98" ca="1" si="242">IF($C93="","",IF(AC93="",TODAY()-AB93,AC93-AB93))</f>
        <v>0</v>
      </c>
      <c r="AE93" s="94" t="str">
        <f t="shared" ref="AE93:AE98" ca="1" si="243">IF($C93="","",IF(AND($C93&lt;&gt;"",AC93=""),IF(AB93=TODAY(),"VENCE HOJE",IF(AB93&lt;TODAY(),"ATRASADO","NO PRAZO")),IF(AC93&lt;=AB93,"NO PRAZO","ATRASADO")))</f>
        <v>NO PRAZO</v>
      </c>
      <c r="AF93" s="93">
        <f t="shared" ref="AF93:AG94" si="244">IF($C93="","",$C93+8)</f>
        <v>46085</v>
      </c>
      <c r="AG93" s="93">
        <f t="shared" si="244"/>
        <v>46085</v>
      </c>
      <c r="AH93" s="94">
        <f t="shared" ref="AH93:AH98" ca="1" si="245">IF($C93="","",IF(AG93="",TODAY()-AF93,AG93-AF93))</f>
        <v>0</v>
      </c>
      <c r="AI93" s="94" t="str">
        <f t="shared" ref="AI93:AI98" ca="1" si="246">IF($C93="","",IF(AND($C93&lt;&gt;"",AG93=""),IF(AF93=TODAY(),"VENCE HOJE",IF(AF93&lt;TODAY(),"ATRASADO","NO PRAZO")),IF(AG93&lt;=AF93,"NO PRAZO","ATRASADO")))</f>
        <v>NO PRAZO</v>
      </c>
      <c r="AJ93" s="93">
        <f t="shared" ref="AJ93:AK94" si="247">IF($C93="","",$C93+9)</f>
        <v>46086</v>
      </c>
      <c r="AK93" s="93">
        <f t="shared" si="247"/>
        <v>46086</v>
      </c>
      <c r="AL93" s="94">
        <f t="shared" ref="AL93:AL98" ca="1" si="248">IF($C93="","",IF(AK93="",TODAY()-AJ93,AK93-AJ93))</f>
        <v>0</v>
      </c>
      <c r="AM93" s="94" t="str">
        <f t="shared" ref="AM93:AM98" ca="1" si="249">IF($C93="","",IF(AND($C93&lt;&gt;"",AK93=""),IF(AJ93=TODAY(),"VENCE HOJE",IF(AJ93&lt;TODAY(),"ATRASADO","NO PRAZO")),IF(AK93&lt;=AJ93,"NO PRAZO","ATRASADO")))</f>
        <v>NO PRAZO</v>
      </c>
      <c r="AN93" s="93">
        <f t="shared" ref="AN93:AO94" si="250">IF($C93="","",$C93+10)</f>
        <v>46087</v>
      </c>
      <c r="AO93" s="93">
        <f t="shared" si="250"/>
        <v>46087</v>
      </c>
      <c r="AP93" s="94">
        <f t="shared" ref="AP93:AP98" ca="1" si="251">IF($C93="","",IF(AO93="",TODAY()-AN93,AO93-AN93))</f>
        <v>0</v>
      </c>
      <c r="AQ93" s="94" t="str">
        <f t="shared" ref="AQ93:AQ98" ca="1" si="252">IF($C93="","",IF(AND($C93&lt;&gt;"",AO93=""),IF(AN93=TODAY(),"VENCE HOJE",IF(AN93&lt;TODAY(),"ATRASADO","NO PRAZO")),IF(AO93&lt;=AN93,"NO PRAZO","ATRASADO")))</f>
        <v>NO PRAZO</v>
      </c>
      <c r="AR93" s="93"/>
      <c r="AS93" s="93"/>
      <c r="AT93" s="93"/>
      <c r="AU93" s="71" t="s">
        <v>601</v>
      </c>
      <c r="AV93" s="94" t="s">
        <v>101</v>
      </c>
      <c r="AW93" s="94"/>
    </row>
    <row r="94" spans="2:49" ht="66" x14ac:dyDescent="0.3">
      <c r="B94" s="69" t="str">
        <f>IF(Tabela1[[#This Row],[DATA]],PROPER(TEXT(Tabela1[[#This Row],[DATA]],"mmm")),"")</f>
        <v>Fev</v>
      </c>
      <c r="C94" s="93">
        <v>46077</v>
      </c>
      <c r="D94" s="93" t="str">
        <f t="shared" si="187"/>
        <v>Terça</v>
      </c>
      <c r="E94" s="155">
        <v>0.79305555555555551</v>
      </c>
      <c r="F94" s="67" t="str">
        <f t="shared" si="188"/>
        <v>NOITE</v>
      </c>
      <c r="G94" s="93" t="s">
        <v>523</v>
      </c>
      <c r="H94" s="100" t="s">
        <v>480</v>
      </c>
      <c r="I94" s="94" t="s">
        <v>84</v>
      </c>
      <c r="J94" s="41" t="s">
        <v>300</v>
      </c>
      <c r="K94" s="41" t="s">
        <v>711</v>
      </c>
      <c r="L94" s="95" t="s">
        <v>524</v>
      </c>
      <c r="M94" s="94" t="s">
        <v>305</v>
      </c>
      <c r="N94" s="4" t="s">
        <v>675</v>
      </c>
      <c r="O94" s="94" t="s">
        <v>411</v>
      </c>
      <c r="P94" s="94" t="s">
        <v>26</v>
      </c>
      <c r="Q94" s="94" t="s">
        <v>5</v>
      </c>
      <c r="R94" s="94" t="s">
        <v>29</v>
      </c>
      <c r="S94" s="94" t="s">
        <v>161</v>
      </c>
      <c r="T94" s="93">
        <f t="shared" si="235"/>
        <v>46077</v>
      </c>
      <c r="U94" s="93">
        <f t="shared" si="235"/>
        <v>46077</v>
      </c>
      <c r="V94" s="94">
        <f t="shared" ca="1" si="236"/>
        <v>0</v>
      </c>
      <c r="W94" s="94" t="str">
        <f t="shared" ca="1" si="237"/>
        <v>NO PRAZO</v>
      </c>
      <c r="X94" s="93">
        <f t="shared" si="238"/>
        <v>46078</v>
      </c>
      <c r="Y94" s="93">
        <f t="shared" si="238"/>
        <v>46078</v>
      </c>
      <c r="Z94" s="94">
        <f t="shared" ca="1" si="239"/>
        <v>0</v>
      </c>
      <c r="AA94" s="94" t="str">
        <f t="shared" ca="1" si="240"/>
        <v>NO PRAZO</v>
      </c>
      <c r="AB94" s="93">
        <f t="shared" si="241"/>
        <v>46078</v>
      </c>
      <c r="AC94" s="93">
        <f t="shared" si="233"/>
        <v>46078</v>
      </c>
      <c r="AD94" s="94">
        <f t="shared" ca="1" si="242"/>
        <v>0</v>
      </c>
      <c r="AE94" s="94" t="str">
        <f t="shared" ca="1" si="243"/>
        <v>NO PRAZO</v>
      </c>
      <c r="AF94" s="93">
        <f t="shared" si="244"/>
        <v>46085</v>
      </c>
      <c r="AG94" s="93">
        <f t="shared" si="244"/>
        <v>46085</v>
      </c>
      <c r="AH94" s="94">
        <f t="shared" ca="1" si="245"/>
        <v>0</v>
      </c>
      <c r="AI94" s="94" t="str">
        <f t="shared" ca="1" si="246"/>
        <v>NO PRAZO</v>
      </c>
      <c r="AJ94" s="93">
        <f t="shared" si="247"/>
        <v>46086</v>
      </c>
      <c r="AK94" s="93">
        <f t="shared" si="247"/>
        <v>46086</v>
      </c>
      <c r="AL94" s="94">
        <f t="shared" ca="1" si="248"/>
        <v>0</v>
      </c>
      <c r="AM94" s="94" t="str">
        <f t="shared" ca="1" si="249"/>
        <v>NO PRAZO</v>
      </c>
      <c r="AN94" s="93">
        <f t="shared" si="250"/>
        <v>46087</v>
      </c>
      <c r="AO94" s="93">
        <f t="shared" si="250"/>
        <v>46087</v>
      </c>
      <c r="AP94" s="94">
        <f t="shared" ca="1" si="251"/>
        <v>0</v>
      </c>
      <c r="AQ94" s="94" t="str">
        <f t="shared" ca="1" si="252"/>
        <v>NO PRAZO</v>
      </c>
      <c r="AR94" s="93"/>
      <c r="AS94" s="93"/>
      <c r="AT94" s="93"/>
      <c r="AU94" s="71" t="s">
        <v>601</v>
      </c>
      <c r="AV94" s="94" t="s">
        <v>101</v>
      </c>
      <c r="AW94" s="94" t="s">
        <v>87</v>
      </c>
    </row>
    <row r="95" spans="2:49" ht="26.4" x14ac:dyDescent="0.3">
      <c r="B95" s="69" t="str">
        <f>IF(Tabela1[[#This Row],[DATA]],PROPER(TEXT(Tabela1[[#This Row],[DATA]],"mmm")),"")</f>
        <v>Mar</v>
      </c>
      <c r="C95" s="93">
        <v>46083</v>
      </c>
      <c r="D95" s="93" t="str">
        <f t="shared" si="187"/>
        <v>Segunda</v>
      </c>
      <c r="E95" s="155">
        <v>0.50069444444444444</v>
      </c>
      <c r="F95" s="67" t="str">
        <f t="shared" si="188"/>
        <v>TARDE</v>
      </c>
      <c r="G95" s="93" t="s">
        <v>525</v>
      </c>
      <c r="H95" s="94" t="s">
        <v>6</v>
      </c>
      <c r="I95" s="94" t="s">
        <v>24</v>
      </c>
      <c r="J95" s="41" t="s">
        <v>300</v>
      </c>
      <c r="K95" s="41" t="s">
        <v>696</v>
      </c>
      <c r="L95" s="95" t="s">
        <v>526</v>
      </c>
      <c r="M95" s="94" t="s">
        <v>214</v>
      </c>
      <c r="N95" s="4" t="s">
        <v>676</v>
      </c>
      <c r="O95" s="94" t="s">
        <v>113</v>
      </c>
      <c r="P95" s="94" t="s">
        <v>93</v>
      </c>
      <c r="Q95" s="94" t="s">
        <v>5</v>
      </c>
      <c r="R95" s="94" t="s">
        <v>29</v>
      </c>
      <c r="S95" s="94" t="s">
        <v>161</v>
      </c>
      <c r="T95" s="93">
        <f t="shared" ref="T95:U97" si="253">IF($C95="","",$C95)</f>
        <v>46083</v>
      </c>
      <c r="U95" s="93">
        <f t="shared" si="253"/>
        <v>46083</v>
      </c>
      <c r="V95" s="94">
        <f t="shared" ca="1" si="236"/>
        <v>0</v>
      </c>
      <c r="W95" s="94" t="str">
        <f t="shared" ca="1" si="237"/>
        <v>NO PRAZO</v>
      </c>
      <c r="X95" s="93">
        <f t="shared" ref="X95:Y97" si="254">IF($C95="","",$C95+1)</f>
        <v>46084</v>
      </c>
      <c r="Y95" s="93">
        <f t="shared" si="254"/>
        <v>46084</v>
      </c>
      <c r="Z95" s="94">
        <f t="shared" ca="1" si="239"/>
        <v>0</v>
      </c>
      <c r="AA95" s="94" t="str">
        <f t="shared" ca="1" si="240"/>
        <v>NO PRAZO</v>
      </c>
      <c r="AB95" s="93">
        <f t="shared" si="241"/>
        <v>46084</v>
      </c>
      <c r="AC95" s="93">
        <f t="shared" ref="AC95:AC99" si="255">IF($C95="","",$C95+1)</f>
        <v>46084</v>
      </c>
      <c r="AD95" s="94">
        <f t="shared" ca="1" si="242"/>
        <v>0</v>
      </c>
      <c r="AE95" s="94" t="str">
        <f t="shared" ca="1" si="243"/>
        <v>NO PRAZO</v>
      </c>
      <c r="AF95" s="93">
        <f t="shared" ref="AF95:AG97" si="256">IF($C95="","",$C95+8)</f>
        <v>46091</v>
      </c>
      <c r="AG95" s="93">
        <f t="shared" si="256"/>
        <v>46091</v>
      </c>
      <c r="AH95" s="94">
        <f t="shared" ca="1" si="245"/>
        <v>0</v>
      </c>
      <c r="AI95" s="94" t="str">
        <f t="shared" ca="1" si="246"/>
        <v>NO PRAZO</v>
      </c>
      <c r="AJ95" s="93">
        <f t="shared" ref="AJ95:AK97" si="257">IF($C95="","",$C95+9)</f>
        <v>46092</v>
      </c>
      <c r="AK95" s="93">
        <f t="shared" si="257"/>
        <v>46092</v>
      </c>
      <c r="AL95" s="94">
        <f t="shared" ca="1" si="248"/>
        <v>0</v>
      </c>
      <c r="AM95" s="94" t="str">
        <f t="shared" ca="1" si="249"/>
        <v>NO PRAZO</v>
      </c>
      <c r="AN95" s="93">
        <f t="shared" ref="AN95:AO97" si="258">IF($C95="","",$C95+10)</f>
        <v>46093</v>
      </c>
      <c r="AO95" s="93">
        <f t="shared" si="258"/>
        <v>46093</v>
      </c>
      <c r="AP95" s="94">
        <f t="shared" ca="1" si="251"/>
        <v>0</v>
      </c>
      <c r="AQ95" s="94" t="str">
        <f t="shared" ca="1" si="252"/>
        <v>NO PRAZO</v>
      </c>
      <c r="AR95" s="93"/>
      <c r="AS95" s="93"/>
      <c r="AT95" s="93"/>
      <c r="AU95" s="71" t="s">
        <v>601</v>
      </c>
      <c r="AV95" s="94" t="s">
        <v>101</v>
      </c>
      <c r="AW95" s="94" t="s">
        <v>87</v>
      </c>
    </row>
    <row r="96" spans="2:49" ht="26.4" x14ac:dyDescent="0.3">
      <c r="B96" s="69" t="str">
        <f>IF(Tabela1[[#This Row],[DATA]],PROPER(TEXT(Tabela1[[#This Row],[DATA]],"mmm")),"")</f>
        <v>Mar</v>
      </c>
      <c r="C96" s="93">
        <v>46086</v>
      </c>
      <c r="D96" s="93" t="str">
        <f t="shared" si="187"/>
        <v>Quinta</v>
      </c>
      <c r="E96" s="155">
        <v>0.43055555555555558</v>
      </c>
      <c r="F96" s="67" t="str">
        <f t="shared" si="188"/>
        <v>MANHÃ</v>
      </c>
      <c r="G96" s="93" t="s">
        <v>512</v>
      </c>
      <c r="H96" s="94" t="s">
        <v>6</v>
      </c>
      <c r="I96" s="94" t="s">
        <v>84</v>
      </c>
      <c r="J96" s="41" t="s">
        <v>300</v>
      </c>
      <c r="K96" s="41" t="s">
        <v>696</v>
      </c>
      <c r="L96" s="95" t="s">
        <v>527</v>
      </c>
      <c r="M96" s="94" t="s">
        <v>514</v>
      </c>
      <c r="N96" s="4" t="s">
        <v>676</v>
      </c>
      <c r="O96" s="94" t="s">
        <v>446</v>
      </c>
      <c r="P96" s="94" t="s">
        <v>93</v>
      </c>
      <c r="Q96" s="94" t="s">
        <v>5</v>
      </c>
      <c r="R96" s="94" t="s">
        <v>29</v>
      </c>
      <c r="S96" s="94" t="s">
        <v>161</v>
      </c>
      <c r="T96" s="93">
        <f t="shared" si="253"/>
        <v>46086</v>
      </c>
      <c r="U96" s="93">
        <f t="shared" si="253"/>
        <v>46086</v>
      </c>
      <c r="V96" s="94">
        <f t="shared" ca="1" si="236"/>
        <v>0</v>
      </c>
      <c r="W96" s="94" t="str">
        <f t="shared" ca="1" si="237"/>
        <v>NO PRAZO</v>
      </c>
      <c r="X96" s="93">
        <f t="shared" si="254"/>
        <v>46087</v>
      </c>
      <c r="Y96" s="93">
        <f t="shared" si="254"/>
        <v>46087</v>
      </c>
      <c r="Z96" s="94">
        <f t="shared" ca="1" si="239"/>
        <v>0</v>
      </c>
      <c r="AA96" s="94" t="str">
        <f t="shared" ca="1" si="240"/>
        <v>NO PRAZO</v>
      </c>
      <c r="AB96" s="93">
        <f t="shared" si="241"/>
        <v>46087</v>
      </c>
      <c r="AC96" s="93">
        <f t="shared" si="255"/>
        <v>46087</v>
      </c>
      <c r="AD96" s="94">
        <f t="shared" ca="1" si="242"/>
        <v>0</v>
      </c>
      <c r="AE96" s="94" t="str">
        <f t="shared" ca="1" si="243"/>
        <v>NO PRAZO</v>
      </c>
      <c r="AF96" s="93">
        <f t="shared" si="256"/>
        <v>46094</v>
      </c>
      <c r="AG96" s="93">
        <f t="shared" si="256"/>
        <v>46094</v>
      </c>
      <c r="AH96" s="94">
        <f t="shared" ca="1" si="245"/>
        <v>0</v>
      </c>
      <c r="AI96" s="94" t="str">
        <f t="shared" ca="1" si="246"/>
        <v>NO PRAZO</v>
      </c>
      <c r="AJ96" s="93">
        <f t="shared" si="257"/>
        <v>46095</v>
      </c>
      <c r="AK96" s="93">
        <f t="shared" si="257"/>
        <v>46095</v>
      </c>
      <c r="AL96" s="94">
        <f t="shared" ca="1" si="248"/>
        <v>0</v>
      </c>
      <c r="AM96" s="94" t="str">
        <f t="shared" ca="1" si="249"/>
        <v>NO PRAZO</v>
      </c>
      <c r="AN96" s="93">
        <f t="shared" si="258"/>
        <v>46096</v>
      </c>
      <c r="AO96" s="93">
        <f t="shared" si="258"/>
        <v>46096</v>
      </c>
      <c r="AP96" s="94">
        <f t="shared" ca="1" si="251"/>
        <v>0</v>
      </c>
      <c r="AQ96" s="94" t="str">
        <f t="shared" ca="1" si="252"/>
        <v>NO PRAZO</v>
      </c>
      <c r="AR96" s="93"/>
      <c r="AS96" s="93"/>
      <c r="AT96" s="93"/>
      <c r="AU96" s="71" t="s">
        <v>601</v>
      </c>
      <c r="AV96" s="94" t="s">
        <v>101</v>
      </c>
      <c r="AW96" s="94" t="s">
        <v>87</v>
      </c>
    </row>
    <row r="97" spans="2:49" ht="66" x14ac:dyDescent="0.3">
      <c r="B97" s="69" t="str">
        <f>IF(Tabela1[[#This Row],[DATA]],PROPER(TEXT(Tabela1[[#This Row],[DATA]],"mmm")),"")</f>
        <v>Mar</v>
      </c>
      <c r="C97" s="93">
        <v>46090</v>
      </c>
      <c r="D97" s="93" t="str">
        <f t="shared" si="187"/>
        <v>Segunda</v>
      </c>
      <c r="E97" s="155">
        <v>2.0833333333333332E-2</v>
      </c>
      <c r="F97" s="67" t="str">
        <f t="shared" si="188"/>
        <v>NOITE</v>
      </c>
      <c r="G97" s="93" t="s">
        <v>528</v>
      </c>
      <c r="H97" s="94" t="s">
        <v>529</v>
      </c>
      <c r="I97" s="94" t="s">
        <v>24</v>
      </c>
      <c r="J97" s="41" t="s">
        <v>300</v>
      </c>
      <c r="K97" s="41" t="s">
        <v>696</v>
      </c>
      <c r="L97" s="95" t="s">
        <v>530</v>
      </c>
      <c r="M97" s="94" t="s">
        <v>531</v>
      </c>
      <c r="N97" s="4" t="s">
        <v>676</v>
      </c>
      <c r="O97" s="94" t="s">
        <v>250</v>
      </c>
      <c r="P97" s="94" t="s">
        <v>26</v>
      </c>
      <c r="Q97" s="94" t="s">
        <v>5</v>
      </c>
      <c r="R97" s="94" t="s">
        <v>29</v>
      </c>
      <c r="S97" s="94" t="s">
        <v>161</v>
      </c>
      <c r="T97" s="93">
        <f t="shared" si="253"/>
        <v>46090</v>
      </c>
      <c r="U97" s="93">
        <f t="shared" si="253"/>
        <v>46090</v>
      </c>
      <c r="V97" s="94">
        <f t="shared" ca="1" si="236"/>
        <v>0</v>
      </c>
      <c r="W97" s="94" t="str">
        <f t="shared" ca="1" si="237"/>
        <v>NO PRAZO</v>
      </c>
      <c r="X97" s="93">
        <f t="shared" si="254"/>
        <v>46091</v>
      </c>
      <c r="Y97" s="93">
        <f t="shared" si="254"/>
        <v>46091</v>
      </c>
      <c r="Z97" s="94">
        <f t="shared" ca="1" si="239"/>
        <v>0</v>
      </c>
      <c r="AA97" s="94" t="str">
        <f t="shared" ca="1" si="240"/>
        <v>NO PRAZO</v>
      </c>
      <c r="AB97" s="93">
        <f t="shared" si="241"/>
        <v>46091</v>
      </c>
      <c r="AC97" s="93">
        <f t="shared" si="255"/>
        <v>46091</v>
      </c>
      <c r="AD97" s="94">
        <f t="shared" ca="1" si="242"/>
        <v>0</v>
      </c>
      <c r="AE97" s="94" t="str">
        <f t="shared" ca="1" si="243"/>
        <v>NO PRAZO</v>
      </c>
      <c r="AF97" s="93">
        <f t="shared" si="256"/>
        <v>46098</v>
      </c>
      <c r="AG97" s="93">
        <f t="shared" si="256"/>
        <v>46098</v>
      </c>
      <c r="AH97" s="94">
        <f t="shared" ca="1" si="245"/>
        <v>0</v>
      </c>
      <c r="AI97" s="94" t="str">
        <f t="shared" ca="1" si="246"/>
        <v>NO PRAZO</v>
      </c>
      <c r="AJ97" s="93">
        <f t="shared" si="257"/>
        <v>46099</v>
      </c>
      <c r="AK97" s="93">
        <f t="shared" si="257"/>
        <v>46099</v>
      </c>
      <c r="AL97" s="94">
        <f t="shared" ca="1" si="248"/>
        <v>0</v>
      </c>
      <c r="AM97" s="94" t="str">
        <f t="shared" ca="1" si="249"/>
        <v>NO PRAZO</v>
      </c>
      <c r="AN97" s="93">
        <f t="shared" si="258"/>
        <v>46100</v>
      </c>
      <c r="AO97" s="93">
        <f t="shared" si="258"/>
        <v>46100</v>
      </c>
      <c r="AP97" s="94">
        <f t="shared" ca="1" si="251"/>
        <v>0</v>
      </c>
      <c r="AQ97" s="94" t="str">
        <f t="shared" ca="1" si="252"/>
        <v>NO PRAZO</v>
      </c>
      <c r="AR97" s="93"/>
      <c r="AS97" s="93"/>
      <c r="AT97" s="93"/>
      <c r="AU97" s="71" t="s">
        <v>601</v>
      </c>
      <c r="AV97" s="94" t="s">
        <v>101</v>
      </c>
      <c r="AW97" s="94" t="s">
        <v>87</v>
      </c>
    </row>
    <row r="98" spans="2:49" ht="52.8" x14ac:dyDescent="0.3">
      <c r="B98" s="69" t="str">
        <f>IF(Tabela1[[#This Row],[DATA]],PROPER(TEXT(Tabela1[[#This Row],[DATA]],"mmm")),"")</f>
        <v>Mar</v>
      </c>
      <c r="C98" s="93">
        <v>46106</v>
      </c>
      <c r="D98" s="93" t="str">
        <f t="shared" si="187"/>
        <v>Quarta</v>
      </c>
      <c r="E98" s="155">
        <v>0.42569444444444443</v>
      </c>
      <c r="F98" s="67" t="str">
        <f t="shared" si="188"/>
        <v>MANHÃ</v>
      </c>
      <c r="G98" s="93" t="s">
        <v>534</v>
      </c>
      <c r="H98" s="60" t="s">
        <v>548</v>
      </c>
      <c r="I98" s="94" t="s">
        <v>84</v>
      </c>
      <c r="J98" s="41" t="s">
        <v>300</v>
      </c>
      <c r="K98" s="41" t="s">
        <v>696</v>
      </c>
      <c r="L98" s="95" t="s">
        <v>533</v>
      </c>
      <c r="M98" s="94" t="s">
        <v>112</v>
      </c>
      <c r="N98" s="4" t="s">
        <v>676</v>
      </c>
      <c r="O98" s="94" t="s">
        <v>96</v>
      </c>
      <c r="P98" s="94" t="s">
        <v>97</v>
      </c>
      <c r="Q98" s="94" t="s">
        <v>5</v>
      </c>
      <c r="R98" s="94" t="s">
        <v>29</v>
      </c>
      <c r="S98" s="94" t="s">
        <v>161</v>
      </c>
      <c r="T98" s="93">
        <f t="shared" ref="T98:U99" si="259">IF($C98="","",$C98)</f>
        <v>46106</v>
      </c>
      <c r="U98" s="93">
        <f t="shared" si="259"/>
        <v>46106</v>
      </c>
      <c r="V98" s="94">
        <f t="shared" ca="1" si="236"/>
        <v>0</v>
      </c>
      <c r="W98" s="94" t="str">
        <f t="shared" ca="1" si="237"/>
        <v>NO PRAZO</v>
      </c>
      <c r="X98" s="93">
        <f t="shared" ref="X98:Y99" si="260">IF($C98="","",$C98+1)</f>
        <v>46107</v>
      </c>
      <c r="Y98" s="93">
        <f t="shared" si="260"/>
        <v>46107</v>
      </c>
      <c r="Z98" s="94">
        <f t="shared" ca="1" si="239"/>
        <v>0</v>
      </c>
      <c r="AA98" s="94" t="str">
        <f t="shared" ca="1" si="240"/>
        <v>NO PRAZO</v>
      </c>
      <c r="AB98" s="93">
        <f t="shared" si="241"/>
        <v>46107</v>
      </c>
      <c r="AC98" s="93">
        <f t="shared" si="255"/>
        <v>46107</v>
      </c>
      <c r="AD98" s="94">
        <f t="shared" ca="1" si="242"/>
        <v>0</v>
      </c>
      <c r="AE98" s="94" t="str">
        <f t="shared" ca="1" si="243"/>
        <v>NO PRAZO</v>
      </c>
      <c r="AF98" s="93">
        <f>IF($C98="","",$C98+8)</f>
        <v>46114</v>
      </c>
      <c r="AG98" s="93">
        <f>IF($C98="","",$C98+8)</f>
        <v>46114</v>
      </c>
      <c r="AH98" s="94">
        <f t="shared" ca="1" si="245"/>
        <v>0</v>
      </c>
      <c r="AI98" s="94" t="str">
        <f t="shared" ca="1" si="246"/>
        <v>NO PRAZO</v>
      </c>
      <c r="AJ98" s="93">
        <f>IF($C98="","",$C98+9)</f>
        <v>46115</v>
      </c>
      <c r="AK98" s="93">
        <f>IF($C98="","",$C98+9)</f>
        <v>46115</v>
      </c>
      <c r="AL98" s="94">
        <f t="shared" ca="1" si="248"/>
        <v>0</v>
      </c>
      <c r="AM98" s="94" t="str">
        <f t="shared" ca="1" si="249"/>
        <v>NO PRAZO</v>
      </c>
      <c r="AN98" s="93">
        <f>IF($C98="","",$C98+10)</f>
        <v>46116</v>
      </c>
      <c r="AO98" s="93">
        <f>IF($C98="","",$C98+10)</f>
        <v>46116</v>
      </c>
      <c r="AP98" s="94">
        <f t="shared" ca="1" si="251"/>
        <v>0</v>
      </c>
      <c r="AQ98" s="94" t="str">
        <f t="shared" ca="1" si="252"/>
        <v>NO PRAZO</v>
      </c>
      <c r="AR98" s="93"/>
      <c r="AS98" s="93"/>
      <c r="AT98" s="93"/>
      <c r="AU98" s="71" t="s">
        <v>601</v>
      </c>
      <c r="AV98" s="94" t="s">
        <v>101</v>
      </c>
      <c r="AW98" s="94" t="s">
        <v>87</v>
      </c>
    </row>
    <row r="99" spans="2:49" ht="26.4" x14ac:dyDescent="0.3">
      <c r="B99" s="69" t="str">
        <f>IF(Tabela1[[#This Row],[DATA]],PROPER(TEXT(Tabela1[[#This Row],[DATA]],"mmm")),"")</f>
        <v>Mar</v>
      </c>
      <c r="C99" s="93">
        <v>46111</v>
      </c>
      <c r="D99" s="93" t="str">
        <f t="shared" si="187"/>
        <v>Segunda</v>
      </c>
      <c r="E99" s="155">
        <v>4.3749999999999997E-2</v>
      </c>
      <c r="F99" s="67" t="str">
        <f t="shared" si="188"/>
        <v>NOITE</v>
      </c>
      <c r="G99" s="93" t="s">
        <v>535</v>
      </c>
      <c r="H99" s="94" t="s">
        <v>460</v>
      </c>
      <c r="I99" s="94" t="s">
        <v>24</v>
      </c>
      <c r="J99" s="41" t="s">
        <v>300</v>
      </c>
      <c r="K99" s="41" t="s">
        <v>697</v>
      </c>
      <c r="L99" s="95" t="s">
        <v>536</v>
      </c>
      <c r="M99" s="94" t="s">
        <v>537</v>
      </c>
      <c r="N99" s="4" t="s">
        <v>675</v>
      </c>
      <c r="O99" s="94" t="s">
        <v>331</v>
      </c>
      <c r="P99" s="94" t="s">
        <v>79</v>
      </c>
      <c r="Q99" s="94" t="s">
        <v>5</v>
      </c>
      <c r="R99" s="94" t="s">
        <v>29</v>
      </c>
      <c r="S99" s="94" t="s">
        <v>161</v>
      </c>
      <c r="T99" s="93">
        <f t="shared" si="259"/>
        <v>46111</v>
      </c>
      <c r="U99" s="93">
        <f t="shared" si="259"/>
        <v>46111</v>
      </c>
      <c r="V99" s="94">
        <f ca="1">IF($C99="","",IF(U99="",TODAY()-T99,U99-T99))</f>
        <v>0</v>
      </c>
      <c r="W99" s="94" t="str">
        <f ca="1">IF($C99="","",IF(AND($C99&lt;&gt;"",U99=""),IF(T99=TODAY(),"VENCE HOJE",IF(T99&lt;TODAY(),"ATRASADO","NO PRAZO")),IF(U99&lt;=T99,"NO PRAZO","ATRASADO")))</f>
        <v>NO PRAZO</v>
      </c>
      <c r="X99" s="93">
        <f t="shared" si="260"/>
        <v>46112</v>
      </c>
      <c r="Y99" s="93">
        <f t="shared" si="260"/>
        <v>46112</v>
      </c>
      <c r="Z99" s="94">
        <f ca="1">IF($C99="","",IF(Y99="",TODAY()-X99,Y99-X99))</f>
        <v>0</v>
      </c>
      <c r="AA99" s="94" t="str">
        <f ca="1">IF($C99="","",IF(AND($C99&lt;&gt;"",Y99=""),IF(X99=TODAY(),"VENCE HOJE",IF(X99&lt;TODAY(),"ATRASADO","NO PRAZO")),IF(Y99&lt;=X99,"NO PRAZO","ATRASADO")))</f>
        <v>NO PRAZO</v>
      </c>
      <c r="AB99" s="93">
        <f>IF($C99="","",$C99+1)</f>
        <v>46112</v>
      </c>
      <c r="AC99" s="93">
        <f t="shared" si="255"/>
        <v>46112</v>
      </c>
      <c r="AD99" s="94">
        <f ca="1">IF($C99="","",IF(AC99="",TODAY()-AB99,AC99-AB99))</f>
        <v>0</v>
      </c>
      <c r="AE99" s="94" t="str">
        <f ca="1">IF($C99="","",IF(AND($C99&lt;&gt;"",AC99=""),IF(AB99=TODAY(),"VENCE HOJE",IF(AB99&lt;TODAY(),"ATRASADO","NO PRAZO")),IF(AC99&lt;=AB99,"NO PRAZO","ATRASADO")))</f>
        <v>NO PRAZO</v>
      </c>
      <c r="AF99" s="93">
        <f>IF($C99="","",$C99+8)</f>
        <v>46119</v>
      </c>
      <c r="AG99" s="93">
        <f>IF($C99="","",$C99+8)</f>
        <v>46119</v>
      </c>
      <c r="AH99" s="94">
        <f ca="1">IF($C99="","",IF(AG99="",TODAY()-AF99,AG99-AF99))</f>
        <v>0</v>
      </c>
      <c r="AI99" s="94" t="str">
        <f ca="1">IF($C99="","",IF(AND($C99&lt;&gt;"",AG99=""),IF(AF99=TODAY(),"VENCE HOJE",IF(AF99&lt;TODAY(),"ATRASADO","NO PRAZO")),IF(AG99&lt;=AF99,"NO PRAZO","ATRASADO")))</f>
        <v>NO PRAZO</v>
      </c>
      <c r="AJ99" s="93">
        <f>IF($C99="","",$C99+9)</f>
        <v>46120</v>
      </c>
      <c r="AK99" s="93">
        <f>IF($C99="","",$C99+9)</f>
        <v>46120</v>
      </c>
      <c r="AL99" s="94">
        <f ca="1">IF($C99="","",IF(AK99="",TODAY()-AJ99,AK99-AJ99))</f>
        <v>0</v>
      </c>
      <c r="AM99" s="94" t="str">
        <f ca="1">IF($C99="","",IF(AND($C99&lt;&gt;"",AK99=""),IF(AJ99=TODAY(),"VENCE HOJE",IF(AJ99&lt;TODAY(),"ATRASADO","NO PRAZO")),IF(AK99&lt;=AJ99,"NO PRAZO","ATRASADO")))</f>
        <v>NO PRAZO</v>
      </c>
      <c r="AN99" s="93">
        <f>IF($C99="","",$C99+10)</f>
        <v>46121</v>
      </c>
      <c r="AO99" s="93">
        <f>IF($C99="","",$C99+10)</f>
        <v>46121</v>
      </c>
      <c r="AP99" s="94">
        <f ca="1">IF($C99="","",IF(AO99="",TODAY()-AN99,AO99-AN99))</f>
        <v>0</v>
      </c>
      <c r="AQ99" s="94" t="str">
        <f ca="1">IF($C99="","",IF(AND($C99&lt;&gt;"",AO99=""),IF(AN99=TODAY(),"VENCE HOJE",IF(AN99&lt;TODAY(),"ATRASADO","NO PRAZO")),IF(AO99&lt;=AN99,"NO PRAZO","ATRASADO")))</f>
        <v>NO PRAZO</v>
      </c>
      <c r="AR99" s="93"/>
      <c r="AS99" s="93"/>
      <c r="AT99" s="93"/>
      <c r="AU99" s="71" t="s">
        <v>601</v>
      </c>
      <c r="AV99" s="94" t="s">
        <v>101</v>
      </c>
      <c r="AW99" s="94" t="s">
        <v>87</v>
      </c>
    </row>
    <row r="100" spans="2:49" ht="39.6" x14ac:dyDescent="0.3">
      <c r="B100" s="69" t="str">
        <f>IF(Tabela1[[#This Row],[DATA]],PROPER(TEXT(Tabela1[[#This Row],[DATA]],"mmm")),"")</f>
        <v>Abr</v>
      </c>
      <c r="C100" s="93">
        <v>46125</v>
      </c>
      <c r="D100" s="93" t="str">
        <f t="shared" si="187"/>
        <v>Segunda</v>
      </c>
      <c r="E100" s="155">
        <v>0.9375</v>
      </c>
      <c r="F100" s="67" t="str">
        <f t="shared" si="188"/>
        <v>NOITE</v>
      </c>
      <c r="G100" s="93" t="s">
        <v>538</v>
      </c>
      <c r="H100" s="41" t="s">
        <v>595</v>
      </c>
      <c r="I100" s="94" t="s">
        <v>84</v>
      </c>
      <c r="J100" s="41" t="s">
        <v>261</v>
      </c>
      <c r="K100" s="41" t="s">
        <v>710</v>
      </c>
      <c r="L100" s="95" t="s">
        <v>539</v>
      </c>
      <c r="M100" s="94" t="s">
        <v>112</v>
      </c>
      <c r="N100" s="4" t="s">
        <v>675</v>
      </c>
      <c r="O100" s="94" t="s">
        <v>96</v>
      </c>
      <c r="P100" s="94" t="s">
        <v>97</v>
      </c>
      <c r="Q100" s="94" t="s">
        <v>5</v>
      </c>
      <c r="R100" s="94" t="s">
        <v>29</v>
      </c>
      <c r="S100" s="94" t="s">
        <v>161</v>
      </c>
      <c r="T100" s="93">
        <v>46125</v>
      </c>
      <c r="U100" s="93">
        <v>46125</v>
      </c>
      <c r="V100" s="94">
        <v>0</v>
      </c>
      <c r="W100" s="94" t="s">
        <v>560</v>
      </c>
      <c r="X100" s="93">
        <v>46126</v>
      </c>
      <c r="Y100" s="93">
        <v>46126</v>
      </c>
      <c r="Z100" s="94">
        <v>0</v>
      </c>
      <c r="AA100" s="94" t="s">
        <v>560</v>
      </c>
      <c r="AB100" s="93">
        <v>46126</v>
      </c>
      <c r="AC100" s="93">
        <v>46126</v>
      </c>
      <c r="AD100" s="94">
        <v>0</v>
      </c>
      <c r="AE100" s="94" t="s">
        <v>560</v>
      </c>
      <c r="AF100" s="93">
        <v>46133</v>
      </c>
      <c r="AG100" s="93">
        <v>46133</v>
      </c>
      <c r="AH100" s="94">
        <v>0</v>
      </c>
      <c r="AI100" s="94" t="s">
        <v>560</v>
      </c>
      <c r="AJ100" s="93">
        <v>46134</v>
      </c>
      <c r="AK100" s="93">
        <v>46134</v>
      </c>
      <c r="AL100" s="94">
        <v>0</v>
      </c>
      <c r="AM100" s="94" t="s">
        <v>560</v>
      </c>
      <c r="AN100" s="93">
        <v>46135</v>
      </c>
      <c r="AO100" s="93">
        <v>46135</v>
      </c>
      <c r="AP100" s="94">
        <v>0</v>
      </c>
      <c r="AQ100" s="94" t="s">
        <v>560</v>
      </c>
      <c r="AR100" s="93">
        <v>46132</v>
      </c>
      <c r="AS100" s="93">
        <v>46142</v>
      </c>
      <c r="AT100" s="93"/>
      <c r="AU100" s="85" t="s">
        <v>602</v>
      </c>
      <c r="AV100" s="94" t="s">
        <v>101</v>
      </c>
      <c r="AW100" s="94"/>
    </row>
    <row r="101" spans="2:49" ht="26.4" x14ac:dyDescent="0.3">
      <c r="B101" s="69" t="str">
        <f>IF(Tabela1[[#This Row],[DATA]],PROPER(TEXT(Tabela1[[#This Row],[DATA]],"mmm")),"")</f>
        <v>Abr</v>
      </c>
      <c r="C101" s="116">
        <v>46140</v>
      </c>
      <c r="D101" s="116" t="str">
        <f t="shared" si="187"/>
        <v>Terça</v>
      </c>
      <c r="E101" s="156">
        <v>0.47916666666666669</v>
      </c>
      <c r="F101" s="67" t="str">
        <f t="shared" si="188"/>
        <v>MANHÃ</v>
      </c>
      <c r="G101" s="116" t="s">
        <v>561</v>
      </c>
      <c r="H101" s="96" t="s">
        <v>562</v>
      </c>
      <c r="I101" s="96" t="s">
        <v>24</v>
      </c>
      <c r="J101" s="96" t="s">
        <v>300</v>
      </c>
      <c r="K101" s="4" t="s">
        <v>698</v>
      </c>
      <c r="L101" s="141" t="s">
        <v>563</v>
      </c>
      <c r="M101" s="96" t="s">
        <v>102</v>
      </c>
      <c r="N101" s="4" t="s">
        <v>676</v>
      </c>
      <c r="O101" s="96" t="s">
        <v>92</v>
      </c>
      <c r="P101" s="96" t="s">
        <v>93</v>
      </c>
      <c r="Q101" s="96" t="s">
        <v>5</v>
      </c>
      <c r="R101" s="96" t="s">
        <v>29</v>
      </c>
      <c r="S101" s="96" t="s">
        <v>161</v>
      </c>
      <c r="T101" s="116">
        <v>46140</v>
      </c>
      <c r="U101" s="116">
        <v>46140</v>
      </c>
      <c r="V101" s="96">
        <v>0</v>
      </c>
      <c r="W101" s="96" t="s">
        <v>560</v>
      </c>
      <c r="X101" s="116">
        <v>46141</v>
      </c>
      <c r="Y101" s="116">
        <v>46141</v>
      </c>
      <c r="Z101" s="96">
        <v>0</v>
      </c>
      <c r="AA101" s="96" t="s">
        <v>560</v>
      </c>
      <c r="AB101" s="116">
        <v>46141</v>
      </c>
      <c r="AC101" s="116">
        <v>46141</v>
      </c>
      <c r="AD101" s="96">
        <v>0</v>
      </c>
      <c r="AE101" s="96" t="s">
        <v>560</v>
      </c>
      <c r="AF101" s="116">
        <v>46148</v>
      </c>
      <c r="AG101" s="116">
        <v>46148</v>
      </c>
      <c r="AH101" s="96">
        <v>0</v>
      </c>
      <c r="AI101" s="96" t="s">
        <v>560</v>
      </c>
      <c r="AJ101" s="116">
        <v>46149</v>
      </c>
      <c r="AK101" s="116">
        <v>46149</v>
      </c>
      <c r="AL101" s="96">
        <v>0</v>
      </c>
      <c r="AM101" s="96" t="s">
        <v>560</v>
      </c>
      <c r="AN101" s="116">
        <v>46150</v>
      </c>
      <c r="AO101" s="116">
        <v>46150</v>
      </c>
      <c r="AP101" s="96">
        <v>0</v>
      </c>
      <c r="AQ101" s="96" t="s">
        <v>560</v>
      </c>
      <c r="AR101" s="116"/>
      <c r="AS101" s="116"/>
      <c r="AT101" s="116"/>
      <c r="AU101" s="71" t="s">
        <v>601</v>
      </c>
      <c r="AV101" s="96" t="s">
        <v>101</v>
      </c>
      <c r="AW101" s="96" t="s">
        <v>564</v>
      </c>
    </row>
    <row r="102" spans="2:49" ht="26.4" x14ac:dyDescent="0.3">
      <c r="B102" s="69" t="str">
        <f>IF(Tabela1[[#This Row],[DATA]],PROPER(TEXT(Tabela1[[#This Row],[DATA]],"mmm")),"")</f>
        <v>Abr</v>
      </c>
      <c r="C102" s="116">
        <v>46141</v>
      </c>
      <c r="D102" s="116" t="str">
        <f t="shared" si="187"/>
        <v>Quarta</v>
      </c>
      <c r="E102" s="156">
        <v>0.65277777777777779</v>
      </c>
      <c r="F102" s="67" t="str">
        <f t="shared" si="188"/>
        <v>TARDE</v>
      </c>
      <c r="G102" s="116" t="s">
        <v>565</v>
      </c>
      <c r="H102" s="96" t="s">
        <v>481</v>
      </c>
      <c r="I102" s="96" t="s">
        <v>84</v>
      </c>
      <c r="J102" s="96" t="s">
        <v>212</v>
      </c>
      <c r="K102" s="4" t="s">
        <v>709</v>
      </c>
      <c r="L102" s="141" t="s">
        <v>566</v>
      </c>
      <c r="M102" s="96" t="s">
        <v>155</v>
      </c>
      <c r="N102" s="4" t="s">
        <v>675</v>
      </c>
      <c r="O102" s="96" t="s">
        <v>92</v>
      </c>
      <c r="P102" s="96" t="s">
        <v>93</v>
      </c>
      <c r="Q102" s="96" t="s">
        <v>5</v>
      </c>
      <c r="R102" s="96" t="s">
        <v>29</v>
      </c>
      <c r="S102" s="96" t="s">
        <v>161</v>
      </c>
      <c r="T102" s="116">
        <v>46141</v>
      </c>
      <c r="U102" s="116">
        <v>46141</v>
      </c>
      <c r="V102" s="96">
        <v>0</v>
      </c>
      <c r="W102" s="96" t="s">
        <v>560</v>
      </c>
      <c r="X102" s="116">
        <v>46142</v>
      </c>
      <c r="Y102" s="116">
        <v>46142</v>
      </c>
      <c r="Z102" s="96">
        <v>0</v>
      </c>
      <c r="AA102" s="96" t="s">
        <v>560</v>
      </c>
      <c r="AB102" s="116">
        <v>46142</v>
      </c>
      <c r="AC102" s="116">
        <v>46142</v>
      </c>
      <c r="AD102" s="96">
        <v>0</v>
      </c>
      <c r="AE102" s="96" t="s">
        <v>560</v>
      </c>
      <c r="AF102" s="116">
        <v>46149</v>
      </c>
      <c r="AG102" s="116">
        <v>46149</v>
      </c>
      <c r="AH102" s="96">
        <v>0</v>
      </c>
      <c r="AI102" s="96" t="s">
        <v>560</v>
      </c>
      <c r="AJ102" s="116">
        <v>46150</v>
      </c>
      <c r="AK102" s="116">
        <v>46150</v>
      </c>
      <c r="AL102" s="96">
        <v>0</v>
      </c>
      <c r="AM102" s="96" t="s">
        <v>560</v>
      </c>
      <c r="AN102" s="116">
        <v>46151</v>
      </c>
      <c r="AO102" s="116">
        <v>46151</v>
      </c>
      <c r="AP102" s="96">
        <v>0</v>
      </c>
      <c r="AQ102" s="96" t="s">
        <v>560</v>
      </c>
      <c r="AR102" s="116"/>
      <c r="AS102" s="116"/>
      <c r="AT102" s="116"/>
      <c r="AU102" s="72" t="s">
        <v>257</v>
      </c>
      <c r="AV102" s="96" t="s">
        <v>101</v>
      </c>
      <c r="AW102" s="96"/>
    </row>
    <row r="103" spans="2:49" ht="52.8" x14ac:dyDescent="0.3">
      <c r="B103" s="69" t="str">
        <f>IF(Tabela1[[#This Row],[DATA]],PROPER(TEXT(Tabela1[[#This Row],[DATA]],"mmm")),"")</f>
        <v>Abr</v>
      </c>
      <c r="C103" s="116">
        <v>46141</v>
      </c>
      <c r="D103" s="116" t="str">
        <f t="shared" si="187"/>
        <v>Quarta</v>
      </c>
      <c r="E103" s="156">
        <v>0.92013888888888884</v>
      </c>
      <c r="F103" s="67" t="str">
        <f t="shared" si="188"/>
        <v>NOITE</v>
      </c>
      <c r="G103" s="116" t="s">
        <v>567</v>
      </c>
      <c r="H103" s="96" t="s">
        <v>568</v>
      </c>
      <c r="I103" s="96" t="s">
        <v>24</v>
      </c>
      <c r="J103" s="96" t="s">
        <v>300</v>
      </c>
      <c r="K103" s="4" t="s">
        <v>708</v>
      </c>
      <c r="L103" s="141" t="s">
        <v>569</v>
      </c>
      <c r="M103" s="96" t="s">
        <v>570</v>
      </c>
      <c r="N103" s="4" t="s">
        <v>676</v>
      </c>
      <c r="O103" s="96" t="s">
        <v>571</v>
      </c>
      <c r="P103" s="96" t="s">
        <v>26</v>
      </c>
      <c r="Q103" s="96" t="s">
        <v>5</v>
      </c>
      <c r="R103" s="96" t="s">
        <v>29</v>
      </c>
      <c r="S103" s="96" t="s">
        <v>161</v>
      </c>
      <c r="T103" s="116">
        <v>46141</v>
      </c>
      <c r="U103" s="116">
        <v>46141</v>
      </c>
      <c r="V103" s="96">
        <v>0</v>
      </c>
      <c r="W103" s="96" t="s">
        <v>560</v>
      </c>
      <c r="X103" s="116">
        <v>46142</v>
      </c>
      <c r="Y103" s="116">
        <v>46142</v>
      </c>
      <c r="Z103" s="96">
        <v>0</v>
      </c>
      <c r="AA103" s="96" t="s">
        <v>560</v>
      </c>
      <c r="AB103" s="116">
        <v>46142</v>
      </c>
      <c r="AC103" s="116">
        <v>46142</v>
      </c>
      <c r="AD103" s="96">
        <v>0</v>
      </c>
      <c r="AE103" s="96" t="s">
        <v>560</v>
      </c>
      <c r="AF103" s="116">
        <v>46149</v>
      </c>
      <c r="AG103" s="116">
        <v>46149</v>
      </c>
      <c r="AH103" s="96">
        <v>0</v>
      </c>
      <c r="AI103" s="96" t="s">
        <v>560</v>
      </c>
      <c r="AJ103" s="116">
        <v>46150</v>
      </c>
      <c r="AK103" s="116">
        <v>46150</v>
      </c>
      <c r="AL103" s="96">
        <v>0</v>
      </c>
      <c r="AM103" s="96" t="s">
        <v>560</v>
      </c>
      <c r="AN103" s="116">
        <v>46151</v>
      </c>
      <c r="AO103" s="116">
        <v>46151</v>
      </c>
      <c r="AP103" s="96">
        <v>0</v>
      </c>
      <c r="AQ103" s="96" t="s">
        <v>560</v>
      </c>
      <c r="AR103" s="116"/>
      <c r="AS103" s="116"/>
      <c r="AT103" s="116"/>
      <c r="AU103" s="71" t="s">
        <v>601</v>
      </c>
      <c r="AV103" s="96" t="s">
        <v>101</v>
      </c>
      <c r="AW103" s="96" t="s">
        <v>87</v>
      </c>
    </row>
    <row r="104" spans="2:49" ht="39.6" x14ac:dyDescent="0.3">
      <c r="B104" s="69" t="str">
        <f>IF(Tabela1[[#This Row],[DATA]],PROPER(TEXT(Tabela1[[#This Row],[DATA]],"mmm")),"")</f>
        <v>Abr</v>
      </c>
      <c r="C104" s="116">
        <v>46141</v>
      </c>
      <c r="D104" s="116" t="str">
        <f t="shared" si="187"/>
        <v>Quarta</v>
      </c>
      <c r="E104" s="156">
        <v>0.4826388888888889</v>
      </c>
      <c r="F104" s="67" t="str">
        <f t="shared" si="188"/>
        <v>MANHÃ</v>
      </c>
      <c r="G104" s="116" t="s">
        <v>572</v>
      </c>
      <c r="H104" s="96" t="s">
        <v>573</v>
      </c>
      <c r="I104" s="96" t="s">
        <v>24</v>
      </c>
      <c r="J104" s="96" t="s">
        <v>267</v>
      </c>
      <c r="K104" s="4" t="s">
        <v>707</v>
      </c>
      <c r="L104" s="141" t="s">
        <v>574</v>
      </c>
      <c r="M104" s="96" t="s">
        <v>102</v>
      </c>
      <c r="N104" s="4" t="s">
        <v>675</v>
      </c>
      <c r="O104" s="96" t="s">
        <v>575</v>
      </c>
      <c r="P104" s="96" t="s">
        <v>93</v>
      </c>
      <c r="Q104" s="96" t="s">
        <v>5</v>
      </c>
      <c r="R104" s="96" t="s">
        <v>29</v>
      </c>
      <c r="S104" s="96" t="s">
        <v>161</v>
      </c>
      <c r="T104" s="116">
        <v>46141</v>
      </c>
      <c r="U104" s="116">
        <v>46141</v>
      </c>
      <c r="V104" s="96">
        <v>0</v>
      </c>
      <c r="W104" s="96" t="s">
        <v>560</v>
      </c>
      <c r="X104" s="116">
        <v>46142</v>
      </c>
      <c r="Y104" s="116">
        <v>46142</v>
      </c>
      <c r="Z104" s="96">
        <v>0</v>
      </c>
      <c r="AA104" s="96" t="s">
        <v>560</v>
      </c>
      <c r="AB104" s="116">
        <v>46142</v>
      </c>
      <c r="AC104" s="116">
        <v>46142</v>
      </c>
      <c r="AD104" s="96">
        <v>0</v>
      </c>
      <c r="AE104" s="96" t="s">
        <v>560</v>
      </c>
      <c r="AF104" s="116">
        <v>46149</v>
      </c>
      <c r="AG104" s="116">
        <v>46149</v>
      </c>
      <c r="AH104" s="96">
        <v>0</v>
      </c>
      <c r="AI104" s="96" t="s">
        <v>560</v>
      </c>
      <c r="AJ104" s="116">
        <v>46150</v>
      </c>
      <c r="AK104" s="116">
        <v>46150</v>
      </c>
      <c r="AL104" s="96">
        <v>0</v>
      </c>
      <c r="AM104" s="96" t="s">
        <v>560</v>
      </c>
      <c r="AN104" s="116">
        <v>46151</v>
      </c>
      <c r="AO104" s="116">
        <v>46151</v>
      </c>
      <c r="AP104" s="96">
        <v>0</v>
      </c>
      <c r="AQ104" s="96" t="s">
        <v>560</v>
      </c>
      <c r="AR104" s="116"/>
      <c r="AS104" s="116"/>
      <c r="AT104" s="116"/>
      <c r="AU104" s="85" t="s">
        <v>602</v>
      </c>
      <c r="AV104" s="96" t="s">
        <v>101</v>
      </c>
      <c r="AW104" s="96"/>
    </row>
    <row r="105" spans="2:49" ht="39.6" x14ac:dyDescent="0.3">
      <c r="B105" s="69" t="str">
        <f>IF(Tabela1[[#This Row],[DATA]],PROPER(TEXT(Tabela1[[#This Row],[DATA]],"mmm")),"")</f>
        <v>Abr</v>
      </c>
      <c r="C105" s="116">
        <v>46142</v>
      </c>
      <c r="D105" s="116" t="str">
        <f t="shared" si="187"/>
        <v>Quinta</v>
      </c>
      <c r="E105" s="156">
        <v>0.49722222222222223</v>
      </c>
      <c r="F105" s="67" t="str">
        <f t="shared" si="188"/>
        <v>MANHÃ</v>
      </c>
      <c r="G105" s="116" t="s">
        <v>576</v>
      </c>
      <c r="H105" s="96" t="s">
        <v>456</v>
      </c>
      <c r="I105" s="96" t="s">
        <v>24</v>
      </c>
      <c r="J105" s="96" t="s">
        <v>300</v>
      </c>
      <c r="K105" s="4" t="s">
        <v>698</v>
      </c>
      <c r="L105" s="141" t="s">
        <v>577</v>
      </c>
      <c r="M105" s="96" t="s">
        <v>102</v>
      </c>
      <c r="N105" s="4" t="s">
        <v>675</v>
      </c>
      <c r="O105" s="96" t="s">
        <v>113</v>
      </c>
      <c r="P105" s="96" t="s">
        <v>93</v>
      </c>
      <c r="Q105" s="96" t="s">
        <v>5</v>
      </c>
      <c r="R105" s="96" t="s">
        <v>29</v>
      </c>
      <c r="S105" s="96" t="s">
        <v>161</v>
      </c>
      <c r="T105" s="116">
        <v>46142</v>
      </c>
      <c r="U105" s="116">
        <v>46142</v>
      </c>
      <c r="V105" s="96">
        <v>0</v>
      </c>
      <c r="W105" s="96" t="s">
        <v>560</v>
      </c>
      <c r="X105" s="116">
        <v>46143</v>
      </c>
      <c r="Y105" s="116">
        <v>46143</v>
      </c>
      <c r="Z105" s="96">
        <v>0</v>
      </c>
      <c r="AA105" s="96" t="s">
        <v>560</v>
      </c>
      <c r="AB105" s="116">
        <v>46143</v>
      </c>
      <c r="AC105" s="116">
        <v>46143</v>
      </c>
      <c r="AD105" s="96">
        <v>0</v>
      </c>
      <c r="AE105" s="96" t="s">
        <v>560</v>
      </c>
      <c r="AF105" s="116">
        <v>46150</v>
      </c>
      <c r="AG105" s="116">
        <v>46150</v>
      </c>
      <c r="AH105" s="96">
        <v>0</v>
      </c>
      <c r="AI105" s="96" t="s">
        <v>560</v>
      </c>
      <c r="AJ105" s="116">
        <v>46151</v>
      </c>
      <c r="AK105" s="116"/>
      <c r="AL105" s="96">
        <v>-1</v>
      </c>
      <c r="AM105" s="96" t="s">
        <v>560</v>
      </c>
      <c r="AN105" s="116">
        <v>46152</v>
      </c>
      <c r="AO105" s="116">
        <v>46152</v>
      </c>
      <c r="AP105" s="96">
        <v>0</v>
      </c>
      <c r="AQ105" s="96" t="s">
        <v>560</v>
      </c>
      <c r="AR105" s="116"/>
      <c r="AS105" s="116"/>
      <c r="AT105" s="116"/>
      <c r="AU105" s="71" t="s">
        <v>601</v>
      </c>
      <c r="AV105" s="96" t="s">
        <v>101</v>
      </c>
      <c r="AW105" s="96" t="s">
        <v>87</v>
      </c>
    </row>
    <row r="106" spans="2:49" ht="26.4" x14ac:dyDescent="0.3">
      <c r="B106" s="69" t="str">
        <f>IF(Tabela1[[#This Row],[DATA]],PROPER(TEXT(Tabela1[[#This Row],[DATA]],"mmm")),"")</f>
        <v>Mai</v>
      </c>
      <c r="C106" s="116">
        <v>46148</v>
      </c>
      <c r="D106" s="116" t="str">
        <f t="shared" si="187"/>
        <v>Quarta</v>
      </c>
      <c r="E106" s="156">
        <v>0.40972222222222221</v>
      </c>
      <c r="F106" s="67" t="str">
        <f t="shared" si="188"/>
        <v>MANHÃ</v>
      </c>
      <c r="G106" s="116" t="s">
        <v>578</v>
      </c>
      <c r="H106" s="96" t="s">
        <v>579</v>
      </c>
      <c r="I106" s="89" t="s">
        <v>115</v>
      </c>
      <c r="J106" s="96" t="s">
        <v>300</v>
      </c>
      <c r="K106" s="4" t="s">
        <v>696</v>
      </c>
      <c r="L106" s="117" t="s">
        <v>580</v>
      </c>
      <c r="M106" s="96" t="s">
        <v>117</v>
      </c>
      <c r="N106" s="4" t="s">
        <v>676</v>
      </c>
      <c r="O106" s="96" t="s">
        <v>25</v>
      </c>
      <c r="P106" s="96" t="s">
        <v>26</v>
      </c>
      <c r="Q106" s="96" t="s">
        <v>5</v>
      </c>
      <c r="R106" s="96" t="s">
        <v>29</v>
      </c>
      <c r="S106" s="96" t="s">
        <v>161</v>
      </c>
      <c r="T106" s="116">
        <v>46148</v>
      </c>
      <c r="U106" s="116">
        <v>46148</v>
      </c>
      <c r="V106" s="96">
        <v>0</v>
      </c>
      <c r="W106" s="96" t="s">
        <v>560</v>
      </c>
      <c r="X106" s="116">
        <v>46149</v>
      </c>
      <c r="Y106" s="116">
        <v>46149</v>
      </c>
      <c r="Z106" s="96">
        <v>0</v>
      </c>
      <c r="AA106" s="96" t="s">
        <v>560</v>
      </c>
      <c r="AB106" s="116">
        <v>46149</v>
      </c>
      <c r="AC106" s="116">
        <v>46149</v>
      </c>
      <c r="AD106" s="96">
        <v>0</v>
      </c>
      <c r="AE106" s="96" t="s">
        <v>560</v>
      </c>
      <c r="AF106" s="116">
        <v>46156</v>
      </c>
      <c r="AG106" s="116">
        <v>46156</v>
      </c>
      <c r="AH106" s="96">
        <v>-2</v>
      </c>
      <c r="AI106" s="96" t="s">
        <v>560</v>
      </c>
      <c r="AJ106" s="116">
        <v>46157</v>
      </c>
      <c r="AK106" s="116">
        <v>46157</v>
      </c>
      <c r="AL106" s="96">
        <v>0</v>
      </c>
      <c r="AM106" s="96" t="s">
        <v>560</v>
      </c>
      <c r="AN106" s="116">
        <v>46158</v>
      </c>
      <c r="AO106" s="116">
        <v>46158</v>
      </c>
      <c r="AP106" s="96">
        <v>0</v>
      </c>
      <c r="AQ106" s="41" t="s">
        <v>560</v>
      </c>
      <c r="AR106" s="116">
        <v>46149</v>
      </c>
      <c r="AS106" s="116">
        <v>46158</v>
      </c>
      <c r="AT106" s="116" t="s">
        <v>584</v>
      </c>
      <c r="AU106" s="71" t="s">
        <v>601</v>
      </c>
      <c r="AV106" s="96" t="s">
        <v>101</v>
      </c>
      <c r="AW106" s="96" t="s">
        <v>87</v>
      </c>
    </row>
    <row r="107" spans="2:49" ht="39.6" x14ac:dyDescent="0.3">
      <c r="B107" s="69" t="str">
        <f>IF(Tabela1[[#This Row],[DATA]],PROPER(TEXT(Tabela1[[#This Row],[DATA]],"mmm")),"")</f>
        <v>Mai</v>
      </c>
      <c r="C107" s="116">
        <v>46148</v>
      </c>
      <c r="D107" s="116" t="str">
        <f t="shared" ref="D107:D139" si="261">CHOOSE(WEEKDAY(C107, 2), "Segunda", "Terça", "Quarta", "Quinta", "Sexta", "Sábado", "Domingo")</f>
        <v>Quarta</v>
      </c>
      <c r="E107" s="156">
        <v>0.64583333333333337</v>
      </c>
      <c r="F107" s="67" t="str">
        <f t="shared" si="188"/>
        <v>TARDE</v>
      </c>
      <c r="G107" s="116" t="s">
        <v>581</v>
      </c>
      <c r="H107" s="96" t="s">
        <v>6</v>
      </c>
      <c r="I107" s="89" t="s">
        <v>115</v>
      </c>
      <c r="J107" s="96" t="s">
        <v>300</v>
      </c>
      <c r="K107" s="4" t="s">
        <v>696</v>
      </c>
      <c r="L107" s="117" t="s">
        <v>582</v>
      </c>
      <c r="M107" s="96" t="s">
        <v>583</v>
      </c>
      <c r="N107" s="4" t="s">
        <v>676</v>
      </c>
      <c r="O107" s="96" t="s">
        <v>96</v>
      </c>
      <c r="P107" s="96" t="s">
        <v>97</v>
      </c>
      <c r="Q107" s="96" t="s">
        <v>5</v>
      </c>
      <c r="R107" s="96" t="s">
        <v>29</v>
      </c>
      <c r="S107" s="96" t="s">
        <v>161</v>
      </c>
      <c r="T107" s="116">
        <v>46148</v>
      </c>
      <c r="U107" s="116">
        <v>46148</v>
      </c>
      <c r="V107" s="96">
        <v>0</v>
      </c>
      <c r="W107" s="96" t="s">
        <v>560</v>
      </c>
      <c r="X107" s="116">
        <v>46149</v>
      </c>
      <c r="Y107" s="116">
        <v>46149</v>
      </c>
      <c r="Z107" s="96">
        <v>0</v>
      </c>
      <c r="AA107" s="96" t="s">
        <v>560</v>
      </c>
      <c r="AB107" s="116">
        <v>46149</v>
      </c>
      <c r="AC107" s="116">
        <v>46149</v>
      </c>
      <c r="AD107" s="96">
        <v>0</v>
      </c>
      <c r="AE107" s="96" t="s">
        <v>560</v>
      </c>
      <c r="AF107" s="116">
        <v>46156</v>
      </c>
      <c r="AG107" s="116">
        <v>46156</v>
      </c>
      <c r="AH107" s="96">
        <v>-2</v>
      </c>
      <c r="AI107" s="96" t="s">
        <v>560</v>
      </c>
      <c r="AJ107" s="116">
        <v>46157</v>
      </c>
      <c r="AK107" s="116">
        <v>46157</v>
      </c>
      <c r="AL107" s="96">
        <v>0</v>
      </c>
      <c r="AM107" s="96" t="s">
        <v>560</v>
      </c>
      <c r="AN107" s="116">
        <v>46158</v>
      </c>
      <c r="AO107" s="116">
        <v>46158</v>
      </c>
      <c r="AP107" s="96">
        <v>0</v>
      </c>
      <c r="AQ107" s="41" t="s">
        <v>560</v>
      </c>
      <c r="AR107" s="116">
        <v>46149</v>
      </c>
      <c r="AS107" s="116">
        <v>46158</v>
      </c>
      <c r="AT107" s="116" t="s">
        <v>584</v>
      </c>
      <c r="AU107" s="71" t="s">
        <v>601</v>
      </c>
      <c r="AV107" s="96" t="s">
        <v>101</v>
      </c>
      <c r="AW107" s="96" t="s">
        <v>87</v>
      </c>
    </row>
    <row r="108" spans="2:49" ht="26.4" x14ac:dyDescent="0.3">
      <c r="B108" s="69" t="str">
        <f>IF(Tabela1[[#This Row],[DATA]],PROPER(TEXT(Tabela1[[#This Row],[DATA]],"mmm")),"")</f>
        <v>Mai</v>
      </c>
      <c r="C108" s="116">
        <v>46153</v>
      </c>
      <c r="D108" s="116" t="str">
        <f t="shared" si="261"/>
        <v>Segunda</v>
      </c>
      <c r="E108" s="156">
        <v>0.4861111111111111</v>
      </c>
      <c r="F108" s="67" t="str">
        <f t="shared" si="188"/>
        <v>MANHÃ</v>
      </c>
      <c r="G108" s="116" t="s">
        <v>585</v>
      </c>
      <c r="H108" s="96" t="s">
        <v>587</v>
      </c>
      <c r="I108" s="89" t="s">
        <v>115</v>
      </c>
      <c r="J108" s="96" t="s">
        <v>300</v>
      </c>
      <c r="K108" s="4" t="s">
        <v>696</v>
      </c>
      <c r="L108" s="141" t="s">
        <v>586</v>
      </c>
      <c r="M108" s="96" t="s">
        <v>583</v>
      </c>
      <c r="N108" s="4" t="s">
        <v>676</v>
      </c>
      <c r="O108" s="96" t="s">
        <v>96</v>
      </c>
      <c r="P108" s="96" t="s">
        <v>97</v>
      </c>
      <c r="Q108" s="96" t="s">
        <v>5</v>
      </c>
      <c r="R108" s="96" t="s">
        <v>29</v>
      </c>
      <c r="S108" s="96" t="s">
        <v>161</v>
      </c>
      <c r="T108" s="116">
        <v>46153</v>
      </c>
      <c r="U108" s="116">
        <v>46153</v>
      </c>
      <c r="V108" s="96">
        <v>0</v>
      </c>
      <c r="W108" s="96" t="s">
        <v>560</v>
      </c>
      <c r="X108" s="116">
        <v>46154</v>
      </c>
      <c r="Y108" s="116">
        <v>46154</v>
      </c>
      <c r="Z108" s="96">
        <v>0</v>
      </c>
      <c r="AA108" s="96" t="s">
        <v>560</v>
      </c>
      <c r="AB108" s="116">
        <v>46154</v>
      </c>
      <c r="AC108" s="116">
        <v>46154</v>
      </c>
      <c r="AD108" s="96">
        <v>0</v>
      </c>
      <c r="AE108" s="96" t="s">
        <v>560</v>
      </c>
      <c r="AF108" s="116">
        <v>46161</v>
      </c>
      <c r="AG108" s="116">
        <v>46161</v>
      </c>
      <c r="AH108" s="96">
        <v>-7</v>
      </c>
      <c r="AI108" s="96" t="s">
        <v>560</v>
      </c>
      <c r="AJ108" s="116">
        <v>46162</v>
      </c>
      <c r="AK108" s="116">
        <v>46162</v>
      </c>
      <c r="AL108" s="96">
        <v>0</v>
      </c>
      <c r="AM108" s="96" t="s">
        <v>560</v>
      </c>
      <c r="AN108" s="116">
        <v>46163</v>
      </c>
      <c r="AO108" s="116">
        <v>46163</v>
      </c>
      <c r="AP108" s="96">
        <v>0</v>
      </c>
      <c r="AQ108" s="96" t="s">
        <v>560</v>
      </c>
      <c r="AR108" s="116">
        <v>46153</v>
      </c>
      <c r="AS108" s="116">
        <v>46163</v>
      </c>
      <c r="AT108" s="116" t="s">
        <v>584</v>
      </c>
      <c r="AU108" s="71" t="s">
        <v>601</v>
      </c>
      <c r="AV108" s="96" t="s">
        <v>101</v>
      </c>
      <c r="AW108" s="96" t="s">
        <v>87</v>
      </c>
    </row>
    <row r="109" spans="2:49" ht="66" x14ac:dyDescent="0.3">
      <c r="B109" s="69" t="str">
        <f>IF(Tabela1[[#This Row],[DATA]],PROPER(TEXT(Tabela1[[#This Row],[DATA]],"mmm")),"")</f>
        <v>Mai</v>
      </c>
      <c r="C109" s="93">
        <v>46167</v>
      </c>
      <c r="D109" s="93" t="str">
        <f t="shared" si="261"/>
        <v>Segunda</v>
      </c>
      <c r="E109" s="155">
        <v>0.3125</v>
      </c>
      <c r="F109" s="67" t="str">
        <f t="shared" si="188"/>
        <v>MANHÃ</v>
      </c>
      <c r="G109" s="93" t="s">
        <v>588</v>
      </c>
      <c r="H109" s="94" t="s">
        <v>589</v>
      </c>
      <c r="I109" s="94" t="s">
        <v>518</v>
      </c>
      <c r="J109" s="147" t="s">
        <v>264</v>
      </c>
      <c r="K109" s="150" t="s">
        <v>706</v>
      </c>
      <c r="L109" s="95" t="s">
        <v>590</v>
      </c>
      <c r="M109" s="94" t="s">
        <v>591</v>
      </c>
      <c r="N109" s="4" t="s">
        <v>675</v>
      </c>
      <c r="O109" s="94" t="s">
        <v>78</v>
      </c>
      <c r="P109" s="94" t="s">
        <v>79</v>
      </c>
      <c r="Q109" s="94" t="s">
        <v>5</v>
      </c>
      <c r="R109" s="94" t="s">
        <v>29</v>
      </c>
      <c r="S109" s="94" t="s">
        <v>161</v>
      </c>
      <c r="T109" s="93">
        <v>46167</v>
      </c>
      <c r="U109" s="93">
        <v>46167</v>
      </c>
      <c r="V109" s="94">
        <v>0</v>
      </c>
      <c r="W109" s="94" t="s">
        <v>560</v>
      </c>
      <c r="X109" s="93">
        <v>46167</v>
      </c>
      <c r="Y109" s="93">
        <v>46167</v>
      </c>
      <c r="Z109" s="94">
        <v>0</v>
      </c>
      <c r="AA109" s="94" t="s">
        <v>560</v>
      </c>
      <c r="AB109" s="93">
        <v>46167</v>
      </c>
      <c r="AC109" s="93">
        <v>46167</v>
      </c>
      <c r="AD109" s="94">
        <v>0</v>
      </c>
      <c r="AE109" s="94" t="s">
        <v>560</v>
      </c>
      <c r="AF109" s="93">
        <v>46175</v>
      </c>
      <c r="AG109" s="93"/>
      <c r="AH109" s="94">
        <v>-8</v>
      </c>
      <c r="AI109" s="94" t="s">
        <v>560</v>
      </c>
      <c r="AJ109" s="93">
        <v>46176</v>
      </c>
      <c r="AK109" s="93"/>
      <c r="AL109" s="94">
        <v>-9</v>
      </c>
      <c r="AM109" s="94" t="s">
        <v>560</v>
      </c>
      <c r="AN109" s="93">
        <v>46177</v>
      </c>
      <c r="AO109" s="93"/>
      <c r="AP109" s="94">
        <v>-10</v>
      </c>
      <c r="AQ109" s="94" t="s">
        <v>560</v>
      </c>
      <c r="AR109" s="93"/>
      <c r="AS109" s="93"/>
      <c r="AT109" s="93"/>
      <c r="AU109" s="85" t="s">
        <v>602</v>
      </c>
      <c r="AV109" s="94" t="s">
        <v>101</v>
      </c>
      <c r="AW109" s="94" t="s">
        <v>87</v>
      </c>
    </row>
    <row r="110" spans="2:49" ht="66" x14ac:dyDescent="0.3">
      <c r="B110" s="118" t="str">
        <f>IF(Tabela1[[#This Row],[DATA]],PROPER(TEXT(Tabela1[[#This Row],[DATA]],"mmm")),"")</f>
        <v>Mai</v>
      </c>
      <c r="C110" s="80">
        <v>46168</v>
      </c>
      <c r="D110" s="80" t="str">
        <f t="shared" si="261"/>
        <v>Terça</v>
      </c>
      <c r="E110" s="149">
        <v>0.32708333333333334</v>
      </c>
      <c r="F110" s="67" t="str">
        <f t="shared" si="188"/>
        <v>MANHÃ</v>
      </c>
      <c r="G110" s="80" t="s">
        <v>592</v>
      </c>
      <c r="H110" s="41" t="s">
        <v>596</v>
      </c>
      <c r="I110" s="41" t="s">
        <v>84</v>
      </c>
      <c r="J110" s="41" t="s">
        <v>593</v>
      </c>
      <c r="K110" s="41" t="s">
        <v>684</v>
      </c>
      <c r="L110" s="137" t="s">
        <v>594</v>
      </c>
      <c r="M110" s="41" t="s">
        <v>514</v>
      </c>
      <c r="N110" s="4" t="s">
        <v>675</v>
      </c>
      <c r="O110" s="41" t="s">
        <v>299</v>
      </c>
      <c r="P110" s="41" t="s">
        <v>104</v>
      </c>
      <c r="Q110" s="41" t="s">
        <v>5</v>
      </c>
      <c r="R110" s="41" t="s">
        <v>29</v>
      </c>
      <c r="S110" s="41" t="s">
        <v>161</v>
      </c>
      <c r="T110" s="80">
        <v>46168</v>
      </c>
      <c r="U110" s="80">
        <v>46168</v>
      </c>
      <c r="V110" s="41">
        <v>0</v>
      </c>
      <c r="W110" s="41" t="s">
        <v>560</v>
      </c>
      <c r="X110" s="80">
        <v>46168</v>
      </c>
      <c r="Y110" s="80">
        <v>46168</v>
      </c>
      <c r="Z110" s="41">
        <v>0</v>
      </c>
      <c r="AA110" s="41" t="s">
        <v>560</v>
      </c>
      <c r="AB110" s="80">
        <v>46168</v>
      </c>
      <c r="AC110" s="80">
        <v>46168</v>
      </c>
      <c r="AD110" s="41">
        <v>0</v>
      </c>
      <c r="AE110" s="41" t="s">
        <v>560</v>
      </c>
      <c r="AF110" s="80">
        <v>46170</v>
      </c>
      <c r="AG110" s="80">
        <v>46170</v>
      </c>
      <c r="AH110" s="41">
        <v>0</v>
      </c>
      <c r="AI110" s="41" t="s">
        <v>560</v>
      </c>
      <c r="AJ110" s="80">
        <v>46171</v>
      </c>
      <c r="AK110" s="80">
        <v>46171</v>
      </c>
      <c r="AL110" s="41">
        <v>0</v>
      </c>
      <c r="AM110" s="41" t="s">
        <v>560</v>
      </c>
      <c r="AN110" s="80">
        <v>46172</v>
      </c>
      <c r="AO110" s="80">
        <v>46172</v>
      </c>
      <c r="AP110" s="41">
        <v>0</v>
      </c>
      <c r="AQ110" s="41" t="s">
        <v>560</v>
      </c>
      <c r="AR110" s="80">
        <v>46174</v>
      </c>
      <c r="AS110" s="80"/>
      <c r="AT110" s="80" t="s">
        <v>584</v>
      </c>
      <c r="AU110" s="85" t="s">
        <v>602</v>
      </c>
      <c r="AV110" s="41" t="s">
        <v>101</v>
      </c>
      <c r="AW110" s="41" t="s">
        <v>87</v>
      </c>
    </row>
    <row r="111" spans="2:49" ht="79.2" x14ac:dyDescent="0.3">
      <c r="B111" s="119" t="str">
        <f>IF(Tabela1[[#This Row],[DATA]],PROPER(TEXT(Tabela1[[#This Row],[DATA]],"mmm")),"")</f>
        <v>Jun</v>
      </c>
      <c r="C111" s="120">
        <v>46176</v>
      </c>
      <c r="D111" s="120" t="str">
        <f t="shared" si="261"/>
        <v>Quarta</v>
      </c>
      <c r="E111" s="153">
        <v>0.46875</v>
      </c>
      <c r="F111" s="67" t="str">
        <f t="shared" si="188"/>
        <v>MANHÃ</v>
      </c>
      <c r="G111" s="120" t="s">
        <v>597</v>
      </c>
      <c r="H111" s="121" t="s">
        <v>598</v>
      </c>
      <c r="I111" s="121" t="s">
        <v>84</v>
      </c>
      <c r="J111" s="121" t="s">
        <v>265</v>
      </c>
      <c r="K111" s="41" t="s">
        <v>705</v>
      </c>
      <c r="L111" s="142" t="s">
        <v>599</v>
      </c>
      <c r="M111" s="121" t="s">
        <v>182</v>
      </c>
      <c r="N111" s="4" t="s">
        <v>675</v>
      </c>
      <c r="O111" s="121" t="s">
        <v>600</v>
      </c>
      <c r="P111" s="121" t="s">
        <v>79</v>
      </c>
      <c r="Q111" s="121" t="s">
        <v>5</v>
      </c>
      <c r="R111" s="121" t="s">
        <v>29</v>
      </c>
      <c r="S111" s="121" t="s">
        <v>161</v>
      </c>
      <c r="T111" s="120">
        <v>46176</v>
      </c>
      <c r="U111" s="120">
        <v>46176</v>
      </c>
      <c r="V111" s="121">
        <v>0</v>
      </c>
      <c r="W111" s="121" t="s">
        <v>560</v>
      </c>
      <c r="X111" s="120">
        <v>46177</v>
      </c>
      <c r="Y111" s="120">
        <v>46177</v>
      </c>
      <c r="Z111" s="121">
        <v>0</v>
      </c>
      <c r="AA111" s="121" t="s">
        <v>560</v>
      </c>
      <c r="AB111" s="120">
        <v>46177</v>
      </c>
      <c r="AC111" s="120">
        <v>46177</v>
      </c>
      <c r="AD111" s="121">
        <v>0</v>
      </c>
      <c r="AE111" s="121" t="s">
        <v>560</v>
      </c>
      <c r="AF111" s="120">
        <v>46184</v>
      </c>
      <c r="AG111" s="120"/>
      <c r="AH111" s="121">
        <v>-6</v>
      </c>
      <c r="AI111" s="121" t="s">
        <v>560</v>
      </c>
      <c r="AJ111" s="120">
        <v>46185</v>
      </c>
      <c r="AK111" s="120"/>
      <c r="AL111" s="121">
        <v>-7</v>
      </c>
      <c r="AM111" s="121" t="s">
        <v>560</v>
      </c>
      <c r="AN111" s="120">
        <v>46186</v>
      </c>
      <c r="AO111" s="120"/>
      <c r="AP111" s="121">
        <v>-8</v>
      </c>
      <c r="AQ111" s="121" t="s">
        <v>560</v>
      </c>
      <c r="AR111" s="120"/>
      <c r="AS111" s="120"/>
      <c r="AT111" s="120"/>
      <c r="AU111" s="85" t="s">
        <v>602</v>
      </c>
      <c r="AV111" s="121" t="s">
        <v>101</v>
      </c>
      <c r="AW111" s="121"/>
    </row>
    <row r="112" spans="2:49" ht="39.6" x14ac:dyDescent="0.3">
      <c r="B112" s="119" t="str">
        <f>IF(Tabela1[[#This Row],[DATA]],PROPER(TEXT(Tabela1[[#This Row],[DATA]],"mmm")),"")</f>
        <v>Jun</v>
      </c>
      <c r="C112" s="120">
        <v>46181</v>
      </c>
      <c r="D112" s="120" t="str">
        <f t="shared" si="261"/>
        <v>Segunda</v>
      </c>
      <c r="E112" s="153">
        <v>0.40277777777777779</v>
      </c>
      <c r="F112" s="67" t="str">
        <f t="shared" si="188"/>
        <v>MANHÃ</v>
      </c>
      <c r="G112" s="120" t="s">
        <v>603</v>
      </c>
      <c r="H112" s="121" t="s">
        <v>429</v>
      </c>
      <c r="I112" s="121" t="s">
        <v>84</v>
      </c>
      <c r="J112" s="121" t="s">
        <v>300</v>
      </c>
      <c r="K112" s="4" t="s">
        <v>697</v>
      </c>
      <c r="L112" s="142" t="s">
        <v>604</v>
      </c>
      <c r="M112" s="121" t="s">
        <v>605</v>
      </c>
      <c r="N112" s="4" t="s">
        <v>675</v>
      </c>
      <c r="O112" s="121" t="s">
        <v>113</v>
      </c>
      <c r="P112" s="121" t="s">
        <v>93</v>
      </c>
      <c r="Q112" s="121" t="s">
        <v>5</v>
      </c>
      <c r="R112" s="121" t="s">
        <v>29</v>
      </c>
      <c r="S112" s="121" t="s">
        <v>161</v>
      </c>
      <c r="T112" s="120">
        <v>46181</v>
      </c>
      <c r="U112" s="120">
        <v>46181</v>
      </c>
      <c r="V112" s="121">
        <v>0</v>
      </c>
      <c r="W112" s="121" t="s">
        <v>560</v>
      </c>
      <c r="X112" s="120">
        <v>46182</v>
      </c>
      <c r="Y112" s="120">
        <v>46182</v>
      </c>
      <c r="Z112" s="121">
        <v>0</v>
      </c>
      <c r="AA112" s="121" t="s">
        <v>560</v>
      </c>
      <c r="AB112" s="120">
        <v>46182</v>
      </c>
      <c r="AC112" s="120">
        <v>46182</v>
      </c>
      <c r="AD112" s="121">
        <v>0</v>
      </c>
      <c r="AE112" s="121" t="s">
        <v>560</v>
      </c>
      <c r="AF112" s="120">
        <v>46189</v>
      </c>
      <c r="AG112" s="120"/>
      <c r="AH112" s="121">
        <v>-4</v>
      </c>
      <c r="AI112" s="121" t="s">
        <v>560</v>
      </c>
      <c r="AJ112" s="120">
        <v>46190</v>
      </c>
      <c r="AK112" s="120"/>
      <c r="AL112" s="121">
        <v>-5</v>
      </c>
      <c r="AM112" s="121" t="s">
        <v>560</v>
      </c>
      <c r="AN112" s="120">
        <v>46191</v>
      </c>
      <c r="AO112" s="120"/>
      <c r="AP112" s="121">
        <v>-6</v>
      </c>
      <c r="AQ112" s="121" t="s">
        <v>560</v>
      </c>
      <c r="AR112" s="120"/>
      <c r="AS112" s="120"/>
      <c r="AT112" s="120" t="s">
        <v>584</v>
      </c>
      <c r="AU112" s="122" t="s">
        <v>601</v>
      </c>
      <c r="AV112" s="121" t="s">
        <v>101</v>
      </c>
      <c r="AW112" s="121" t="s">
        <v>87</v>
      </c>
    </row>
    <row r="113" spans="2:49" ht="92.4" x14ac:dyDescent="0.3">
      <c r="B113" s="119" t="str">
        <f>IF(Tabela1[[#This Row],[DATA]],PROPER(TEXT(Tabela1[[#This Row],[DATA]],"mmm")),"")</f>
        <v>Jun</v>
      </c>
      <c r="C113" s="123">
        <v>46188</v>
      </c>
      <c r="D113" s="123" t="str">
        <f t="shared" si="261"/>
        <v>Segunda</v>
      </c>
      <c r="E113" s="154">
        <v>0.4201388888888889</v>
      </c>
      <c r="F113" s="67" t="str">
        <f t="shared" si="188"/>
        <v>MANHÃ</v>
      </c>
      <c r="G113" s="67" t="s">
        <v>704</v>
      </c>
      <c r="H113" s="124" t="s">
        <v>606</v>
      </c>
      <c r="I113" s="124" t="s">
        <v>24</v>
      </c>
      <c r="J113" s="124" t="s">
        <v>300</v>
      </c>
      <c r="K113" s="4" t="s">
        <v>696</v>
      </c>
      <c r="L113" s="143" t="s">
        <v>607</v>
      </c>
      <c r="M113" s="124" t="s">
        <v>570</v>
      </c>
      <c r="N113" s="4" t="s">
        <v>676</v>
      </c>
      <c r="O113" s="124" t="s">
        <v>135</v>
      </c>
      <c r="P113" s="124" t="s">
        <v>26</v>
      </c>
      <c r="Q113" s="124" t="s">
        <v>5</v>
      </c>
      <c r="R113" s="124" t="s">
        <v>29</v>
      </c>
      <c r="S113" s="124" t="s">
        <v>161</v>
      </c>
      <c r="T113" s="123">
        <f t="shared" ref="T113:U114" si="262">IF($C113="","",$C113)</f>
        <v>46188</v>
      </c>
      <c r="U113" s="123">
        <f t="shared" si="262"/>
        <v>46188</v>
      </c>
      <c r="V113" s="124">
        <f ca="1">IF($C113="","",IF(U113="",TODAY()-T113,U113-T113))</f>
        <v>0</v>
      </c>
      <c r="W113" s="124" t="str">
        <f ca="1">IF($C113="","",IF(AND($C113&lt;&gt;"",U113=""),IF(T113=TODAY(),"VENCE HOJE",IF(T113&lt;TODAY(),"ATRASADO","NO PRAZO")),IF(U113&lt;=T113,"NO PRAZO","ATRASADO")))</f>
        <v>NO PRAZO</v>
      </c>
      <c r="X113" s="123">
        <f t="shared" ref="X113:Y114" si="263">IF($C113="","",$C113+1)</f>
        <v>46189</v>
      </c>
      <c r="Y113" s="123">
        <f t="shared" si="263"/>
        <v>46189</v>
      </c>
      <c r="Z113" s="124">
        <f ca="1">IF($C113="","",IF(Y113="",TODAY()-X113,Y113-X113))</f>
        <v>0</v>
      </c>
      <c r="AA113" s="124" t="str">
        <f ca="1">IF($C113="","",IF(AND($C113&lt;&gt;"",Y113=""),IF(X113=TODAY(),"VENCE HOJE",IF(X113&lt;TODAY(),"ATRASADO","NO PRAZO")),IF(Y113&lt;=X113,"NO PRAZO","ATRASADO")))</f>
        <v>NO PRAZO</v>
      </c>
      <c r="AB113" s="123">
        <f t="shared" ref="AB113:AC114" si="264">IF($C113="","",$C113+1)</f>
        <v>46189</v>
      </c>
      <c r="AC113" s="123">
        <f t="shared" si="264"/>
        <v>46189</v>
      </c>
      <c r="AD113" s="124">
        <f ca="1">IF($C113="","",IF(AC113="",TODAY()-AB113,AC113-AB113))</f>
        <v>0</v>
      </c>
      <c r="AE113" s="124" t="str">
        <f ca="1">IF($C113="","",IF(AND($C113&lt;&gt;"",AC113=""),IF(AB113=TODAY(),"VENCE HOJE",IF(AB113&lt;TODAY(),"ATRASADO","NO PRAZO")),IF(AC113&lt;=AB113,"NO PRAZO","ATRASADO")))</f>
        <v>NO PRAZO</v>
      </c>
      <c r="AF113" s="123">
        <f>IF($C113="","",$C113+8)</f>
        <v>46196</v>
      </c>
      <c r="AG113" s="123"/>
      <c r="AH113" s="124">
        <f ca="1">IF($C113="","",IF(AG113="",TODAY()-AF113,AG113-AF113))</f>
        <v>125</v>
      </c>
      <c r="AI113" s="124" t="str">
        <f ca="1">IF($C113="","",IF(AND($C113&lt;&gt;"",AG113=""),IF(AF113=TODAY(),"VENCE HOJE",IF(AF113&lt;TODAY(),"ATRASADO","NO PRAZO")),IF(AG113&lt;=AF113,"NO PRAZO","ATRASADO")))</f>
        <v>ATRASADO</v>
      </c>
      <c r="AJ113" s="123">
        <f>IF($C113="","",$C113+9)</f>
        <v>46197</v>
      </c>
      <c r="AK113" s="123"/>
      <c r="AL113" s="124">
        <f ca="1">IF($C113="","",IF(AK113="",TODAY()-AJ113,AK113-AJ113))</f>
        <v>124</v>
      </c>
      <c r="AM113" s="124" t="str">
        <f ca="1">IF($C113="","",IF(AND($C113&lt;&gt;"",AK113=""),IF(AJ113=TODAY(),"VENCE HOJE",IF(AJ113&lt;TODAY(),"ATRASADO","NO PRAZO")),IF(AK113&lt;=AJ113,"NO PRAZO","ATRASADO")))</f>
        <v>ATRASADO</v>
      </c>
      <c r="AN113" s="123">
        <f>IF($C113="","",$C113+10)</f>
        <v>46198</v>
      </c>
      <c r="AO113" s="123"/>
      <c r="AP113" s="124">
        <f ca="1">IF($C113="","",IF(AO113="",TODAY()-AN113,AO113-AN113))</f>
        <v>123</v>
      </c>
      <c r="AQ113" s="124" t="str">
        <f ca="1">IF($C113="","",IF(AND($C113&lt;&gt;"",AO113=""),IF(AN113=TODAY(),"VENCE HOJE",IF(AN113&lt;TODAY(),"ATRASADO","NO PRAZO")),IF(AO113&lt;=AN113,"NO PRAZO","ATRASADO")))</f>
        <v>ATRASADO</v>
      </c>
      <c r="AR113" s="123"/>
      <c r="AS113" s="123"/>
      <c r="AT113" s="123"/>
      <c r="AU113" s="60" t="s">
        <v>601</v>
      </c>
      <c r="AV113" s="124" t="s">
        <v>101</v>
      </c>
      <c r="AW113" s="124" t="s">
        <v>87</v>
      </c>
    </row>
    <row r="114" spans="2:49" ht="26.4" x14ac:dyDescent="0.3">
      <c r="B114" s="119" t="str">
        <f>IF(Tabela1[[#This Row],[DATA]],PROPER(TEXT(Tabela1[[#This Row],[DATA]],"mmm")),"")</f>
        <v>Jun</v>
      </c>
      <c r="C114" s="120">
        <v>46190</v>
      </c>
      <c r="D114" s="120" t="str">
        <f t="shared" si="261"/>
        <v>Quarta</v>
      </c>
      <c r="E114" s="153">
        <v>0.4375</v>
      </c>
      <c r="F114" s="67" t="str">
        <f t="shared" si="188"/>
        <v>MANHÃ</v>
      </c>
      <c r="G114" s="120" t="s">
        <v>608</v>
      </c>
      <c r="H114" s="121" t="s">
        <v>562</v>
      </c>
      <c r="I114" s="121" t="s">
        <v>24</v>
      </c>
      <c r="J114" s="121" t="s">
        <v>212</v>
      </c>
      <c r="K114" s="41" t="s">
        <v>703</v>
      </c>
      <c r="L114" s="142" t="s">
        <v>609</v>
      </c>
      <c r="M114" s="121" t="s">
        <v>102</v>
      </c>
      <c r="N114" s="4" t="s">
        <v>675</v>
      </c>
      <c r="O114" s="121" t="s">
        <v>92</v>
      </c>
      <c r="P114" s="121" t="s">
        <v>93</v>
      </c>
      <c r="Q114" s="121" t="s">
        <v>5</v>
      </c>
      <c r="R114" s="121" t="s">
        <v>29</v>
      </c>
      <c r="S114" s="121" t="s">
        <v>161</v>
      </c>
      <c r="T114" s="120">
        <f t="shared" si="262"/>
        <v>46190</v>
      </c>
      <c r="U114" s="120">
        <f t="shared" si="262"/>
        <v>46190</v>
      </c>
      <c r="V114" s="121">
        <f ca="1">IF($C114="","",IF(U114="",TODAY()-T114,U114-T114))</f>
        <v>0</v>
      </c>
      <c r="W114" s="121" t="str">
        <f ca="1">IF($C114="","",IF(AND($C114&lt;&gt;"",U114=""),IF(T114=TODAY(),"VENCE HOJE",IF(T114&lt;TODAY(),"ATRASADO","NO PRAZO")),IF(U114&lt;=T114,"NO PRAZO","ATRASADO")))</f>
        <v>NO PRAZO</v>
      </c>
      <c r="X114" s="120">
        <f t="shared" si="263"/>
        <v>46191</v>
      </c>
      <c r="Y114" s="120">
        <f t="shared" si="263"/>
        <v>46191</v>
      </c>
      <c r="Z114" s="121">
        <f ca="1">IF($C114="","",IF(Y114="",TODAY()-X114,Y114-X114))</f>
        <v>0</v>
      </c>
      <c r="AA114" s="121" t="str">
        <f ca="1">IF($C114="","",IF(AND($C114&lt;&gt;"",Y114=""),IF(X114=TODAY(),"VENCE HOJE",IF(X114&lt;TODAY(),"ATRASADO","NO PRAZO")),IF(Y114&lt;=X114,"NO PRAZO","ATRASADO")))</f>
        <v>NO PRAZO</v>
      </c>
      <c r="AB114" s="120">
        <f t="shared" si="264"/>
        <v>46191</v>
      </c>
      <c r="AC114" s="120">
        <f t="shared" si="264"/>
        <v>46191</v>
      </c>
      <c r="AD114" s="121">
        <f ca="1">IF($C114="","",IF(AC114="",TODAY()-AB114,AC114-AB114))</f>
        <v>0</v>
      </c>
      <c r="AE114" s="121" t="str">
        <f ca="1">IF($C114="","",IF(AND($C114&lt;&gt;"",AC114=""),IF(AB114=TODAY(),"VENCE HOJE",IF(AB114&lt;TODAY(),"ATRASADO","NO PRAZO")),IF(AC114&lt;=AB114,"NO PRAZO","ATRASADO")))</f>
        <v>NO PRAZO</v>
      </c>
      <c r="AF114" s="120">
        <f>IF($C114="","",$C114+8)</f>
        <v>46198</v>
      </c>
      <c r="AG114" s="120"/>
      <c r="AH114" s="121">
        <f ca="1">IF($C114="","",IF(AG114="",TODAY()-AF114,AG114-AF114))</f>
        <v>123</v>
      </c>
      <c r="AI114" s="121" t="str">
        <f ca="1">IF($C114="","",IF(AND($C114&lt;&gt;"",AG114=""),IF(AF114=TODAY(),"VENCE HOJE",IF(AF114&lt;TODAY(),"ATRASADO","NO PRAZO")),IF(AG114&lt;=AF114,"NO PRAZO","ATRASADO")))</f>
        <v>ATRASADO</v>
      </c>
      <c r="AJ114" s="120">
        <f>IF($C114="","",$C114+9)</f>
        <v>46199</v>
      </c>
      <c r="AK114" s="120"/>
      <c r="AL114" s="121">
        <f ca="1">IF($C114="","",IF(AK114="",TODAY()-AJ114,AK114-AJ114))</f>
        <v>122</v>
      </c>
      <c r="AM114" s="121" t="str">
        <f ca="1">IF($C114="","",IF(AND($C114&lt;&gt;"",AK114=""),IF(AJ114=TODAY(),"VENCE HOJE",IF(AJ114&lt;TODAY(),"ATRASADO","NO PRAZO")),IF(AK114&lt;=AJ114,"NO PRAZO","ATRASADO")))</f>
        <v>ATRASADO</v>
      </c>
      <c r="AN114" s="120">
        <f>IF($C114="","",$C114+10)</f>
        <v>46200</v>
      </c>
      <c r="AO114" s="120"/>
      <c r="AP114" s="121">
        <f ca="1">IF($C114="","",IF(AO114="",TODAY()-AN114,AO114-AN114))</f>
        <v>121</v>
      </c>
      <c r="AQ114" s="121" t="str">
        <f ca="1">IF($C114="","",IF(AND($C114&lt;&gt;"",AO114=""),IF(AN114=TODAY(),"VENCE HOJE",IF(AN114&lt;TODAY(),"ATRASADO","NO PRAZO")),IF(AO114&lt;=AN114,"NO PRAZO","ATRASADO")))</f>
        <v>ATRASADO</v>
      </c>
      <c r="AR114" s="120"/>
      <c r="AS114" s="120"/>
      <c r="AT114" s="120"/>
      <c r="AU114" s="52" t="s">
        <v>257</v>
      </c>
      <c r="AV114" s="121" t="s">
        <v>101</v>
      </c>
      <c r="AW114" s="121"/>
    </row>
    <row r="115" spans="2:49" x14ac:dyDescent="0.3">
      <c r="B115" s="119" t="str">
        <f>IF(Tabela1[[#This Row],[DATA]],PROPER(TEXT(Tabela1[[#This Row],[DATA]],"mmm")),"")</f>
        <v>Jul</v>
      </c>
      <c r="C115" s="120">
        <v>46206</v>
      </c>
      <c r="D115" s="120" t="str">
        <f t="shared" si="261"/>
        <v>Sexta</v>
      </c>
      <c r="E115" s="153">
        <v>0.5625</v>
      </c>
      <c r="F115" s="67" t="str">
        <f t="shared" si="188"/>
        <v>TARDE</v>
      </c>
      <c r="G115" s="120" t="s">
        <v>610</v>
      </c>
      <c r="H115" s="121" t="s">
        <v>343</v>
      </c>
      <c r="I115" s="121" t="s">
        <v>344</v>
      </c>
      <c r="J115" s="121" t="s">
        <v>300</v>
      </c>
      <c r="K115" s="41" t="s">
        <v>702</v>
      </c>
      <c r="L115" s="142" t="s">
        <v>611</v>
      </c>
      <c r="M115" s="121" t="s">
        <v>612</v>
      </c>
      <c r="N115" s="4" t="s">
        <v>675</v>
      </c>
      <c r="O115" s="121" t="s">
        <v>25</v>
      </c>
      <c r="P115" s="121" t="s">
        <v>26</v>
      </c>
      <c r="Q115" s="121" t="s">
        <v>5</v>
      </c>
      <c r="R115" s="121" t="s">
        <v>221</v>
      </c>
      <c r="S115" s="121"/>
      <c r="T115" s="120">
        <v>46206</v>
      </c>
      <c r="U115" s="120">
        <v>46206</v>
      </c>
      <c r="V115" s="121">
        <v>0</v>
      </c>
      <c r="W115" s="121" t="s">
        <v>560</v>
      </c>
      <c r="X115" s="120">
        <v>46207</v>
      </c>
      <c r="Y115" s="120">
        <v>46207</v>
      </c>
      <c r="Z115" s="121">
        <v>0</v>
      </c>
      <c r="AA115" s="121" t="s">
        <v>560</v>
      </c>
      <c r="AB115" s="120">
        <v>46207</v>
      </c>
      <c r="AC115" s="120">
        <v>46207</v>
      </c>
      <c r="AD115" s="121">
        <v>0</v>
      </c>
      <c r="AE115" s="121" t="s">
        <v>560</v>
      </c>
      <c r="AF115" s="120">
        <v>46214</v>
      </c>
      <c r="AG115" s="120"/>
      <c r="AH115" s="121">
        <v>-4</v>
      </c>
      <c r="AI115" s="121" t="s">
        <v>560</v>
      </c>
      <c r="AJ115" s="120">
        <v>46215</v>
      </c>
      <c r="AK115" s="120"/>
      <c r="AL115" s="121">
        <v>-5</v>
      </c>
      <c r="AM115" s="121" t="s">
        <v>560</v>
      </c>
      <c r="AN115" s="120">
        <v>46216</v>
      </c>
      <c r="AO115" s="120"/>
      <c r="AP115" s="121">
        <v>-6</v>
      </c>
      <c r="AQ115" s="121" t="s">
        <v>560</v>
      </c>
      <c r="AR115" s="120"/>
      <c r="AS115" s="120"/>
      <c r="AT115" s="120"/>
      <c r="AU115" s="52" t="s">
        <v>601</v>
      </c>
      <c r="AV115" s="121" t="s">
        <v>101</v>
      </c>
      <c r="AW115" s="121" t="s">
        <v>101</v>
      </c>
    </row>
    <row r="116" spans="2:49" ht="39.6" x14ac:dyDescent="0.3">
      <c r="B116" s="125" t="str">
        <f>IF(Tabela1[[#This Row],[DATA]],PROPER(TEXT(Tabela1[[#This Row],[DATA]],"mmm")),"")</f>
        <v>Jul</v>
      </c>
      <c r="C116" s="123">
        <v>46216</v>
      </c>
      <c r="D116" s="123" t="str">
        <f t="shared" si="261"/>
        <v>Segunda</v>
      </c>
      <c r="E116" s="154">
        <v>0.46388888888888891</v>
      </c>
      <c r="F116" s="67" t="str">
        <f t="shared" si="188"/>
        <v>MANHÃ</v>
      </c>
      <c r="G116" s="123" t="s">
        <v>613</v>
      </c>
      <c r="H116" s="124" t="s">
        <v>614</v>
      </c>
      <c r="I116" s="124" t="s">
        <v>24</v>
      </c>
      <c r="J116" s="124" t="s">
        <v>300</v>
      </c>
      <c r="K116" s="4" t="s">
        <v>701</v>
      </c>
      <c r="L116" s="143" t="s">
        <v>615</v>
      </c>
      <c r="M116" s="124" t="s">
        <v>537</v>
      </c>
      <c r="N116" s="4" t="s">
        <v>676</v>
      </c>
      <c r="O116" s="124" t="s">
        <v>78</v>
      </c>
      <c r="P116" s="124" t="s">
        <v>79</v>
      </c>
      <c r="Q116" s="124" t="s">
        <v>5</v>
      </c>
      <c r="R116" s="124" t="s">
        <v>29</v>
      </c>
      <c r="S116" s="124" t="s">
        <v>161</v>
      </c>
      <c r="T116" s="123">
        <f t="shared" ref="T116:U122" si="265">IF($C116="","",$C116)</f>
        <v>46216</v>
      </c>
      <c r="U116" s="123">
        <f t="shared" si="265"/>
        <v>46216</v>
      </c>
      <c r="V116" s="124">
        <f t="shared" ref="V116:V119" ca="1" si="266">IF($C116="","",IF(U116="",TODAY()-T116,U116-T116))</f>
        <v>0</v>
      </c>
      <c r="W116" s="124" t="str">
        <f t="shared" ref="W116:W119" ca="1" si="267">IF($C116="","",IF(AND($C116&lt;&gt;"",U116=""),IF(T116=TODAY(),"VENCE HOJE",IF(T116&lt;TODAY(),"ATRASADO","NO PRAZO")),IF(U116&lt;=T116,"NO PRAZO","ATRASADO")))</f>
        <v>NO PRAZO</v>
      </c>
      <c r="X116" s="123">
        <f t="shared" ref="X116:Y122" si="268">IF($C116="","",$C116+1)</f>
        <v>46217</v>
      </c>
      <c r="Y116" s="123">
        <f t="shared" si="268"/>
        <v>46217</v>
      </c>
      <c r="Z116" s="124">
        <f t="shared" ref="Z116:Z119" ca="1" si="269">IF($C116="","",IF(Y116="",TODAY()-X116,Y116-X116))</f>
        <v>0</v>
      </c>
      <c r="AA116" s="124" t="str">
        <f t="shared" ref="AA116:AA119" ca="1" si="270">IF($C116="","",IF(AND($C116&lt;&gt;"",Y116=""),IF(X116=TODAY(),"VENCE HOJE",IF(X116&lt;TODAY(),"ATRASADO","NO PRAZO")),IF(Y116&lt;=X116,"NO PRAZO","ATRASADO")))</f>
        <v>NO PRAZO</v>
      </c>
      <c r="AB116" s="123">
        <f t="shared" ref="AB116:AC122" si="271">IF($C116="","",$C116+1)</f>
        <v>46217</v>
      </c>
      <c r="AC116" s="123">
        <f t="shared" si="271"/>
        <v>46217</v>
      </c>
      <c r="AD116" s="124">
        <f t="shared" ref="AD116:AD119" ca="1" si="272">IF($C116="","",IF(AC116="",TODAY()-AB116,AC116-AB116))</f>
        <v>0</v>
      </c>
      <c r="AE116" s="124" t="str">
        <f t="shared" ref="AE116:AE119" ca="1" si="273">IF($C116="","",IF(AND($C116&lt;&gt;"",AC116=""),IF(AB116=TODAY(),"VENCE HOJE",IF(AB116&lt;TODAY(),"ATRASADO","NO PRAZO")),IF(AC116&lt;=AB116,"NO PRAZO","ATRASADO")))</f>
        <v>NO PRAZO</v>
      </c>
      <c r="AF116" s="123">
        <f>IF($C116="","",$C116+8)</f>
        <v>46224</v>
      </c>
      <c r="AG116" s="123"/>
      <c r="AH116" s="124">
        <f t="shared" ref="AH116:AH119" ca="1" si="274">IF($C116="","",IF(AG116="",TODAY()-AF116,AG116-AF116))</f>
        <v>97</v>
      </c>
      <c r="AI116" s="124" t="str">
        <f t="shared" ref="AI116:AI119" ca="1" si="275">IF($C116="","",IF(AND($C116&lt;&gt;"",AG116=""),IF(AF116=TODAY(),"VENCE HOJE",IF(AF116&lt;TODAY(),"ATRASADO","NO PRAZO")),IF(AG116&lt;=AF116,"NO PRAZO","ATRASADO")))</f>
        <v>ATRASADO</v>
      </c>
      <c r="AJ116" s="123">
        <f>IF($C116="","",$C116+9)</f>
        <v>46225</v>
      </c>
      <c r="AK116" s="123"/>
      <c r="AL116" s="124">
        <f t="shared" ref="AL116:AL119" ca="1" si="276">IF($C116="","",IF(AK116="",TODAY()-AJ116,AK116-AJ116))</f>
        <v>96</v>
      </c>
      <c r="AM116" s="124" t="str">
        <f t="shared" ref="AM116:AM119" ca="1" si="277">IF($C116="","",IF(AND($C116&lt;&gt;"",AK116=""),IF(AJ116=TODAY(),"VENCE HOJE",IF(AJ116&lt;TODAY(),"ATRASADO","NO PRAZO")),IF(AK116&lt;=AJ116,"NO PRAZO","ATRASADO")))</f>
        <v>ATRASADO</v>
      </c>
      <c r="AN116" s="123">
        <f>IF($C116="","",$C116+10)</f>
        <v>46226</v>
      </c>
      <c r="AO116" s="123"/>
      <c r="AP116" s="124">
        <f t="shared" ref="AP116:AP119" ca="1" si="278">IF($C116="","",IF(AO116="",TODAY()-AN116,AO116-AN116))</f>
        <v>95</v>
      </c>
      <c r="AQ116" s="124" t="str">
        <f t="shared" ref="AQ116:AQ119" ca="1" si="279">IF($C116="","",IF(AND($C116&lt;&gt;"",AO116=""),IF(AN116=TODAY(),"VENCE HOJE",IF(AN116&lt;TODAY(),"ATRASADO","NO PRAZO")),IF(AO116&lt;=AN116,"NO PRAZO","ATRASADO")))</f>
        <v>ATRASADO</v>
      </c>
      <c r="AR116" s="123"/>
      <c r="AS116" s="123"/>
      <c r="AT116" s="123"/>
      <c r="AU116" s="60" t="s">
        <v>601</v>
      </c>
      <c r="AV116" s="124" t="s">
        <v>101</v>
      </c>
      <c r="AW116" s="124" t="s">
        <v>87</v>
      </c>
    </row>
    <row r="117" spans="2:49" ht="39.6" x14ac:dyDescent="0.3">
      <c r="B117" s="125" t="str">
        <f>IF(Tabela1[[#This Row],[DATA]],PROPER(TEXT(Tabela1[[#This Row],[DATA]],"mmm")),"")</f>
        <v>Jul</v>
      </c>
      <c r="C117" s="123">
        <v>46216</v>
      </c>
      <c r="D117" s="123" t="str">
        <f t="shared" si="261"/>
        <v>Segunda</v>
      </c>
      <c r="E117" s="154">
        <v>0.50138888888888888</v>
      </c>
      <c r="F117" s="67" t="str">
        <f t="shared" si="188"/>
        <v>TARDE</v>
      </c>
      <c r="G117" s="123" t="s">
        <v>616</v>
      </c>
      <c r="H117" s="124" t="s">
        <v>617</v>
      </c>
      <c r="I117" s="124" t="s">
        <v>84</v>
      </c>
      <c r="J117" s="124" t="s">
        <v>300</v>
      </c>
      <c r="K117" s="4" t="s">
        <v>700</v>
      </c>
      <c r="L117" s="143" t="s">
        <v>618</v>
      </c>
      <c r="M117" s="124" t="s">
        <v>619</v>
      </c>
      <c r="N117" s="4" t="s">
        <v>675</v>
      </c>
      <c r="O117" s="124" t="s">
        <v>25</v>
      </c>
      <c r="P117" s="124" t="s">
        <v>26</v>
      </c>
      <c r="Q117" s="124" t="s">
        <v>5</v>
      </c>
      <c r="R117" s="124" t="s">
        <v>29</v>
      </c>
      <c r="S117" s="124" t="s">
        <v>161</v>
      </c>
      <c r="T117" s="123">
        <f t="shared" si="265"/>
        <v>46216</v>
      </c>
      <c r="U117" s="123">
        <f t="shared" si="265"/>
        <v>46216</v>
      </c>
      <c r="V117" s="124">
        <f t="shared" ca="1" si="266"/>
        <v>0</v>
      </c>
      <c r="W117" s="124" t="str">
        <f t="shared" ca="1" si="267"/>
        <v>NO PRAZO</v>
      </c>
      <c r="X117" s="123">
        <f t="shared" si="268"/>
        <v>46217</v>
      </c>
      <c r="Y117" s="123">
        <f t="shared" si="268"/>
        <v>46217</v>
      </c>
      <c r="Z117" s="124">
        <f t="shared" ca="1" si="269"/>
        <v>0</v>
      </c>
      <c r="AA117" s="124" t="str">
        <f t="shared" ca="1" si="270"/>
        <v>NO PRAZO</v>
      </c>
      <c r="AB117" s="123">
        <f t="shared" si="271"/>
        <v>46217</v>
      </c>
      <c r="AC117" s="123">
        <f t="shared" si="271"/>
        <v>46217</v>
      </c>
      <c r="AD117" s="124">
        <f t="shared" ca="1" si="272"/>
        <v>0</v>
      </c>
      <c r="AE117" s="124" t="str">
        <f t="shared" ca="1" si="273"/>
        <v>NO PRAZO</v>
      </c>
      <c r="AF117" s="123">
        <f>IF($C117="","",$C117+8)</f>
        <v>46224</v>
      </c>
      <c r="AG117" s="123"/>
      <c r="AH117" s="124">
        <f t="shared" ca="1" si="274"/>
        <v>97</v>
      </c>
      <c r="AI117" s="124" t="str">
        <f t="shared" ca="1" si="275"/>
        <v>ATRASADO</v>
      </c>
      <c r="AJ117" s="123">
        <f>IF($C117="","",$C117+9)</f>
        <v>46225</v>
      </c>
      <c r="AK117" s="123"/>
      <c r="AL117" s="124">
        <f t="shared" ca="1" si="276"/>
        <v>96</v>
      </c>
      <c r="AM117" s="124" t="str">
        <f t="shared" ca="1" si="277"/>
        <v>ATRASADO</v>
      </c>
      <c r="AN117" s="123">
        <f>IF($C117="","",$C117+10)</f>
        <v>46226</v>
      </c>
      <c r="AO117" s="123"/>
      <c r="AP117" s="124">
        <f t="shared" ca="1" si="278"/>
        <v>95</v>
      </c>
      <c r="AQ117" s="124" t="str">
        <f t="shared" ca="1" si="279"/>
        <v>ATRASADO</v>
      </c>
      <c r="AR117" s="123"/>
      <c r="AS117" s="123"/>
      <c r="AT117" s="123"/>
      <c r="AU117" s="60" t="s">
        <v>601</v>
      </c>
      <c r="AV117" s="124" t="s">
        <v>101</v>
      </c>
      <c r="AW117" s="124" t="s">
        <v>87</v>
      </c>
    </row>
    <row r="118" spans="2:49" ht="39.6" x14ac:dyDescent="0.3">
      <c r="B118" s="125" t="str">
        <f>IF(Tabela1[[#This Row],[DATA]],PROPER(TEXT(Tabela1[[#This Row],[DATA]],"mmm")),"")</f>
        <v>Jul</v>
      </c>
      <c r="C118" s="123">
        <v>46217</v>
      </c>
      <c r="D118" s="123" t="str">
        <f t="shared" si="261"/>
        <v>Terça</v>
      </c>
      <c r="E118" s="154">
        <v>0.36527777777777776</v>
      </c>
      <c r="F118" s="67" t="str">
        <f t="shared" si="188"/>
        <v>MANHÃ</v>
      </c>
      <c r="G118" s="123" t="s">
        <v>620</v>
      </c>
      <c r="H118" s="124" t="s">
        <v>498</v>
      </c>
      <c r="I118" s="124" t="s">
        <v>84</v>
      </c>
      <c r="J118" s="124" t="s">
        <v>300</v>
      </c>
      <c r="K118" s="4" t="s">
        <v>699</v>
      </c>
      <c r="L118" s="143" t="s">
        <v>621</v>
      </c>
      <c r="M118" s="124" t="s">
        <v>619</v>
      </c>
      <c r="N118" s="4" t="s">
        <v>676</v>
      </c>
      <c r="O118" s="124" t="s">
        <v>25</v>
      </c>
      <c r="P118" s="124" t="s">
        <v>26</v>
      </c>
      <c r="Q118" s="124" t="s">
        <v>5</v>
      </c>
      <c r="R118" s="124" t="s">
        <v>29</v>
      </c>
      <c r="S118" s="124" t="s">
        <v>161</v>
      </c>
      <c r="T118" s="123">
        <f t="shared" si="265"/>
        <v>46217</v>
      </c>
      <c r="U118" s="123">
        <f t="shared" si="265"/>
        <v>46217</v>
      </c>
      <c r="V118" s="124">
        <f t="shared" ca="1" si="266"/>
        <v>0</v>
      </c>
      <c r="W118" s="124" t="str">
        <f t="shared" ca="1" si="267"/>
        <v>NO PRAZO</v>
      </c>
      <c r="X118" s="123">
        <f t="shared" si="268"/>
        <v>46218</v>
      </c>
      <c r="Y118" s="123">
        <f t="shared" si="268"/>
        <v>46218</v>
      </c>
      <c r="Z118" s="124">
        <f t="shared" ca="1" si="269"/>
        <v>0</v>
      </c>
      <c r="AA118" s="124" t="str">
        <f t="shared" ca="1" si="270"/>
        <v>NO PRAZO</v>
      </c>
      <c r="AB118" s="123">
        <f t="shared" si="271"/>
        <v>46218</v>
      </c>
      <c r="AC118" s="123">
        <f t="shared" si="271"/>
        <v>46218</v>
      </c>
      <c r="AD118" s="124">
        <f t="shared" ca="1" si="272"/>
        <v>0</v>
      </c>
      <c r="AE118" s="124" t="str">
        <f t="shared" ca="1" si="273"/>
        <v>NO PRAZO</v>
      </c>
      <c r="AF118" s="123">
        <f>IF($C118="","",$C118+8)</f>
        <v>46225</v>
      </c>
      <c r="AG118" s="123"/>
      <c r="AH118" s="124">
        <f t="shared" ca="1" si="274"/>
        <v>96</v>
      </c>
      <c r="AI118" s="124" t="str">
        <f t="shared" ca="1" si="275"/>
        <v>ATRASADO</v>
      </c>
      <c r="AJ118" s="123">
        <f>IF($C118="","",$C118+9)</f>
        <v>46226</v>
      </c>
      <c r="AK118" s="123"/>
      <c r="AL118" s="124">
        <f t="shared" ca="1" si="276"/>
        <v>95</v>
      </c>
      <c r="AM118" s="124" t="str">
        <f t="shared" ca="1" si="277"/>
        <v>ATRASADO</v>
      </c>
      <c r="AN118" s="123">
        <f>IF($C118="","",$C118+10)</f>
        <v>46227</v>
      </c>
      <c r="AO118" s="123"/>
      <c r="AP118" s="124">
        <f t="shared" ca="1" si="278"/>
        <v>94</v>
      </c>
      <c r="AQ118" s="124" t="str">
        <f t="shared" ca="1" si="279"/>
        <v>ATRASADO</v>
      </c>
      <c r="AR118" s="123"/>
      <c r="AS118" s="123"/>
      <c r="AT118" s="123"/>
      <c r="AU118" s="60" t="s">
        <v>601</v>
      </c>
      <c r="AV118" s="124" t="s">
        <v>101</v>
      </c>
      <c r="AW118" s="124" t="s">
        <v>87</v>
      </c>
    </row>
    <row r="119" spans="2:49" ht="39.6" x14ac:dyDescent="0.3">
      <c r="B119" s="119" t="str">
        <f>IF(Tabela1[[#This Row],[DATA]],PROPER(TEXT(Tabela1[[#This Row],[DATA]],"mmm")),"")</f>
        <v>Jul</v>
      </c>
      <c r="C119" s="120">
        <v>46217</v>
      </c>
      <c r="D119" s="120" t="str">
        <f t="shared" si="261"/>
        <v>Terça</v>
      </c>
      <c r="E119" s="153">
        <v>0.8125</v>
      </c>
      <c r="F119" s="67" t="str">
        <f t="shared" si="188"/>
        <v>NOITE</v>
      </c>
      <c r="G119" s="120" t="s">
        <v>622</v>
      </c>
      <c r="H119" s="41" t="s">
        <v>634</v>
      </c>
      <c r="I119" s="121" t="s">
        <v>84</v>
      </c>
      <c r="J119" s="121" t="s">
        <v>300</v>
      </c>
      <c r="K119" s="4" t="s">
        <v>683</v>
      </c>
      <c r="L119" s="142" t="s">
        <v>623</v>
      </c>
      <c r="M119" s="121" t="s">
        <v>619</v>
      </c>
      <c r="N119" s="4" t="s">
        <v>675</v>
      </c>
      <c r="O119" s="121" t="s">
        <v>118</v>
      </c>
      <c r="P119" s="121" t="s">
        <v>309</v>
      </c>
      <c r="Q119" s="121" t="s">
        <v>5</v>
      </c>
      <c r="R119" s="121" t="s">
        <v>29</v>
      </c>
      <c r="S119" s="121" t="s">
        <v>161</v>
      </c>
      <c r="T119" s="120">
        <f t="shared" si="265"/>
        <v>46217</v>
      </c>
      <c r="U119" s="120">
        <f t="shared" si="265"/>
        <v>46217</v>
      </c>
      <c r="V119" s="121">
        <f t="shared" ca="1" si="266"/>
        <v>0</v>
      </c>
      <c r="W119" s="121" t="str">
        <f t="shared" ca="1" si="267"/>
        <v>NO PRAZO</v>
      </c>
      <c r="X119" s="120">
        <f t="shared" si="268"/>
        <v>46218</v>
      </c>
      <c r="Y119" s="120">
        <f t="shared" si="268"/>
        <v>46218</v>
      </c>
      <c r="Z119" s="121">
        <f t="shared" ca="1" si="269"/>
        <v>0</v>
      </c>
      <c r="AA119" s="121" t="str">
        <f t="shared" ca="1" si="270"/>
        <v>NO PRAZO</v>
      </c>
      <c r="AB119" s="120">
        <f t="shared" si="271"/>
        <v>46218</v>
      </c>
      <c r="AC119" s="120">
        <f t="shared" si="271"/>
        <v>46218</v>
      </c>
      <c r="AD119" s="121">
        <f t="shared" ca="1" si="272"/>
        <v>0</v>
      </c>
      <c r="AE119" s="121" t="str">
        <f t="shared" ca="1" si="273"/>
        <v>NO PRAZO</v>
      </c>
      <c r="AF119" s="120">
        <f>IF($C119="","",$C119+8)</f>
        <v>46225</v>
      </c>
      <c r="AG119" s="120"/>
      <c r="AH119" s="121">
        <f t="shared" ca="1" si="274"/>
        <v>96</v>
      </c>
      <c r="AI119" s="121" t="str">
        <f t="shared" ca="1" si="275"/>
        <v>ATRASADO</v>
      </c>
      <c r="AJ119" s="120">
        <f>IF($C119="","",$C119+9)</f>
        <v>46226</v>
      </c>
      <c r="AK119" s="120"/>
      <c r="AL119" s="121">
        <f t="shared" ca="1" si="276"/>
        <v>95</v>
      </c>
      <c r="AM119" s="121" t="str">
        <f t="shared" ca="1" si="277"/>
        <v>ATRASADO</v>
      </c>
      <c r="AN119" s="120">
        <f>IF($C119="","",$C119+10)</f>
        <v>46227</v>
      </c>
      <c r="AO119" s="120"/>
      <c r="AP119" s="121">
        <f t="shared" ca="1" si="278"/>
        <v>94</v>
      </c>
      <c r="AQ119" s="121" t="str">
        <f t="shared" ca="1" si="279"/>
        <v>ATRASADO</v>
      </c>
      <c r="AR119" s="120"/>
      <c r="AS119" s="120"/>
      <c r="AT119" s="120"/>
      <c r="AU119" s="52" t="s">
        <v>601</v>
      </c>
      <c r="AV119" s="121" t="s">
        <v>101</v>
      </c>
      <c r="AW119" s="121" t="s">
        <v>87</v>
      </c>
    </row>
    <row r="120" spans="2:49" ht="52.8" x14ac:dyDescent="0.3">
      <c r="B120" s="119" t="str">
        <f>IF(Tabela1[[#This Row],[DATA]],PROPER(TEXT(Tabela1[[#This Row],[DATA]],"mmm")),"")</f>
        <v>Jul</v>
      </c>
      <c r="C120" s="123">
        <v>46221</v>
      </c>
      <c r="D120" s="123" t="str">
        <f t="shared" si="261"/>
        <v>Sábado</v>
      </c>
      <c r="E120" s="154">
        <v>0.47152777777777777</v>
      </c>
      <c r="F120" s="67" t="str">
        <f t="shared" si="188"/>
        <v>MANHÃ</v>
      </c>
      <c r="G120" s="123" t="s">
        <v>624</v>
      </c>
      <c r="H120" s="124" t="s">
        <v>501</v>
      </c>
      <c r="I120" s="124" t="s">
        <v>115</v>
      </c>
      <c r="J120" s="124" t="s">
        <v>300</v>
      </c>
      <c r="K120" s="4" t="s">
        <v>697</v>
      </c>
      <c r="L120" s="143" t="s">
        <v>625</v>
      </c>
      <c r="M120" s="124" t="s">
        <v>583</v>
      </c>
      <c r="N120" s="4" t="s">
        <v>675</v>
      </c>
      <c r="O120" s="124" t="s">
        <v>303</v>
      </c>
      <c r="P120" s="124" t="s">
        <v>97</v>
      </c>
      <c r="Q120" s="124" t="s">
        <v>5</v>
      </c>
      <c r="R120" s="124" t="s">
        <v>29</v>
      </c>
      <c r="S120" s="124" t="s">
        <v>161</v>
      </c>
      <c r="T120" s="123">
        <f t="shared" si="265"/>
        <v>46221</v>
      </c>
      <c r="U120" s="123">
        <f t="shared" si="265"/>
        <v>46221</v>
      </c>
      <c r="V120" s="124">
        <f ca="1">IF($C120="","",IF(U120="",TODAY()-T120,U120-T120))</f>
        <v>0</v>
      </c>
      <c r="W120" s="124" t="str">
        <f ca="1">IF($C120="","",IF(AND($C120&lt;&gt;"",U120=""),IF(T120=TODAY(),"VENCE HOJE",IF(T120&lt;TODAY(),"ATRASADO","NO PRAZO")),IF(U120&lt;=T120,"NO PRAZO","ATRASADO")))</f>
        <v>NO PRAZO</v>
      </c>
      <c r="X120" s="123">
        <f t="shared" si="268"/>
        <v>46222</v>
      </c>
      <c r="Y120" s="123">
        <f t="shared" si="268"/>
        <v>46222</v>
      </c>
      <c r="Z120" s="124">
        <f ca="1">IF($C120="","",IF(Y120="",TODAY()-X120,Y120-X120))</f>
        <v>0</v>
      </c>
      <c r="AA120" s="124" t="str">
        <f ca="1">IF($C120="","",IF(AND($C120&lt;&gt;"",Y120=""),IF(X120=TODAY(),"VENCE HOJE",IF(X120&lt;TODAY(),"ATRASADO","NO PRAZO")),IF(Y120&lt;=X120,"NO PRAZO","ATRASADO")))</f>
        <v>NO PRAZO</v>
      </c>
      <c r="AB120" s="123">
        <f t="shared" si="271"/>
        <v>46222</v>
      </c>
      <c r="AC120" s="123">
        <f t="shared" si="271"/>
        <v>46222</v>
      </c>
      <c r="AD120" s="124">
        <f ca="1">IF($C120="","",IF(AC120="",TODAY()-AB120,AC120-AB120))</f>
        <v>0</v>
      </c>
      <c r="AE120" s="124" t="str">
        <f ca="1">IF($C120="","",IF(AND($C120&lt;&gt;"",AC120=""),IF(AB120=TODAY(),"VENCE HOJE",IF(AB120&lt;TODAY(),"ATRASADO","NO PRAZO")),IF(AC120&lt;=AB120,"NO PRAZO","ATRASADO")))</f>
        <v>NO PRAZO</v>
      </c>
      <c r="AF120" s="123">
        <f t="shared" ref="AF120:AG121" si="280">IF($C120="","",$C120+8)</f>
        <v>46229</v>
      </c>
      <c r="AG120" s="123"/>
      <c r="AH120" s="124">
        <f ca="1">IF($C120="","",IF(AG120="",TODAY()-AF120,AG120-AF120))</f>
        <v>92</v>
      </c>
      <c r="AI120" s="124" t="str">
        <f ca="1">IF($C120="","",IF(AND($C120&lt;&gt;"",AG120=""),IF(AF120=TODAY(),"VENCE HOJE",IF(AF120&lt;TODAY(),"ATRASADO","NO PRAZO")),IF(AG120&lt;=AF120,"NO PRAZO","ATRASADO")))</f>
        <v>ATRASADO</v>
      </c>
      <c r="AJ120" s="123">
        <f t="shared" ref="AJ120:AJ121" si="281">IF($C120="","",$C120+9)</f>
        <v>46230</v>
      </c>
      <c r="AK120" s="123"/>
      <c r="AL120" s="124">
        <f ca="1">IF($C120="","",IF(AK120="",TODAY()-AJ120,AK120-AJ120))</f>
        <v>91</v>
      </c>
      <c r="AM120" s="124" t="str">
        <f ca="1">IF($C120="","",IF(AND($C120&lt;&gt;"",AK120=""),IF(AJ120=TODAY(),"VENCE HOJE",IF(AJ120&lt;TODAY(),"ATRASADO","NO PRAZO")),IF(AK120&lt;=AJ120,"NO PRAZO","ATRASADO")))</f>
        <v>ATRASADO</v>
      </c>
      <c r="AN120" s="123">
        <f t="shared" ref="AN120:AN121" si="282">IF($C120="","",$C120+10)</f>
        <v>46231</v>
      </c>
      <c r="AO120" s="123"/>
      <c r="AP120" s="124">
        <f ca="1">IF($C120="","",IF(AO120="",TODAY()-AN120,AO120-AN120))</f>
        <v>90</v>
      </c>
      <c r="AQ120" s="124" t="str">
        <f ca="1">IF($C120="","",IF(AND($C120&lt;&gt;"",AO120=""),IF(AN120=TODAY(),"VENCE HOJE",IF(AN120&lt;TODAY(),"ATRASADO","NO PRAZO")),IF(AO120&lt;=AN120,"NO PRAZO","ATRASADO")))</f>
        <v>ATRASADO</v>
      </c>
      <c r="AR120" s="123"/>
      <c r="AS120" s="123"/>
      <c r="AT120" s="123"/>
      <c r="AU120" s="60" t="s">
        <v>601</v>
      </c>
      <c r="AV120" s="124" t="s">
        <v>101</v>
      </c>
      <c r="AW120" s="124" t="s">
        <v>87</v>
      </c>
    </row>
    <row r="121" spans="2:49" ht="52.8" x14ac:dyDescent="0.3">
      <c r="B121" s="119" t="str">
        <f>IF(Tabela1[[#This Row],[DATA]],PROPER(TEXT(Tabela1[[#This Row],[DATA]],"mmm")),"")</f>
        <v>Jul</v>
      </c>
      <c r="C121" s="123">
        <v>46221</v>
      </c>
      <c r="D121" s="123" t="str">
        <f t="shared" si="261"/>
        <v>Sábado</v>
      </c>
      <c r="E121" s="154">
        <v>0.45833333333333331</v>
      </c>
      <c r="F121" s="67" t="str">
        <f t="shared" si="188"/>
        <v>MANHÃ</v>
      </c>
      <c r="G121" s="123" t="s">
        <v>626</v>
      </c>
      <c r="H121" s="124" t="s">
        <v>589</v>
      </c>
      <c r="I121" s="124" t="s">
        <v>518</v>
      </c>
      <c r="J121" s="124" t="s">
        <v>300</v>
      </c>
      <c r="K121" s="4" t="s">
        <v>692</v>
      </c>
      <c r="L121" s="143" t="s">
        <v>627</v>
      </c>
      <c r="M121" s="124" t="s">
        <v>591</v>
      </c>
      <c r="N121" s="4" t="s">
        <v>676</v>
      </c>
      <c r="O121" s="124" t="s">
        <v>113</v>
      </c>
      <c r="P121" s="124" t="s">
        <v>93</v>
      </c>
      <c r="Q121" s="124" t="s">
        <v>5</v>
      </c>
      <c r="R121" s="124" t="s">
        <v>29</v>
      </c>
      <c r="S121" s="124" t="s">
        <v>161</v>
      </c>
      <c r="T121" s="123">
        <f t="shared" si="265"/>
        <v>46221</v>
      </c>
      <c r="U121" s="123">
        <f t="shared" si="265"/>
        <v>46221</v>
      </c>
      <c r="V121" s="124">
        <f ca="1">IF($C121="","",IF(U121="",TODAY()-T121,U121-T121))</f>
        <v>0</v>
      </c>
      <c r="W121" s="124" t="str">
        <f ca="1">IF($C121="","",IF(AND($C121&lt;&gt;"",U121=""),IF(T121=TODAY(),"VENCE HOJE",IF(T121&lt;TODAY(),"ATRASADO","NO PRAZO")),IF(U121&lt;=T121,"NO PRAZO","ATRASADO")))</f>
        <v>NO PRAZO</v>
      </c>
      <c r="X121" s="123">
        <f t="shared" si="268"/>
        <v>46222</v>
      </c>
      <c r="Y121" s="123">
        <f t="shared" si="268"/>
        <v>46222</v>
      </c>
      <c r="Z121" s="124">
        <f ca="1">IF($C121="","",IF(Y121="",TODAY()-X121,Y121-X121))</f>
        <v>0</v>
      </c>
      <c r="AA121" s="124" t="str">
        <f ca="1">IF($C121="","",IF(AND($C121&lt;&gt;"",Y121=""),IF(X121=TODAY(),"VENCE HOJE",IF(X121&lt;TODAY(),"ATRASADO","NO PRAZO")),IF(Y121&lt;=X121,"NO PRAZO","ATRASADO")))</f>
        <v>NO PRAZO</v>
      </c>
      <c r="AB121" s="123">
        <f t="shared" si="271"/>
        <v>46222</v>
      </c>
      <c r="AC121" s="123">
        <f t="shared" si="271"/>
        <v>46222</v>
      </c>
      <c r="AD121" s="124">
        <f ca="1">IF($C121="","",IF(AC121="",TODAY()-AB121,AC121-AB121))</f>
        <v>0</v>
      </c>
      <c r="AE121" s="124" t="str">
        <f ca="1">IF($C121="","",IF(AND($C121&lt;&gt;"",AC121=""),IF(AB121=TODAY(),"VENCE HOJE",IF(AB121&lt;TODAY(),"ATRASADO","NO PRAZO")),IF(AC121&lt;=AB121,"NO PRAZO","ATRASADO")))</f>
        <v>NO PRAZO</v>
      </c>
      <c r="AF121" s="123">
        <f t="shared" si="280"/>
        <v>46229</v>
      </c>
      <c r="AG121" s="123">
        <f t="shared" si="280"/>
        <v>46229</v>
      </c>
      <c r="AH121" s="124">
        <f ca="1">IF($C121="","",IF(AG121="",TODAY()-AF121,AG121-AF121))</f>
        <v>0</v>
      </c>
      <c r="AI121" s="124" t="str">
        <f ca="1">IF($C121="","",IF(AND($C121&lt;&gt;"",AG121=""),IF(AF121=TODAY(),"VENCE HOJE",IF(AF121&lt;TODAY(),"ATRASADO","NO PRAZO")),IF(AG121&lt;=AF121,"NO PRAZO","ATRASADO")))</f>
        <v>NO PRAZO</v>
      </c>
      <c r="AJ121" s="123">
        <f t="shared" si="281"/>
        <v>46230</v>
      </c>
      <c r="AK121" s="123"/>
      <c r="AL121" s="124">
        <f ca="1">IF($C121="","",IF(AK121="",TODAY()-AJ121,AK121-AJ121))</f>
        <v>91</v>
      </c>
      <c r="AM121" s="124" t="str">
        <f ca="1">IF($C121="","",IF(AND($C121&lt;&gt;"",AK121=""),IF(AJ121=TODAY(),"VENCE HOJE",IF(AJ121&lt;TODAY(),"ATRASADO","NO PRAZO")),IF(AK121&lt;=AJ121,"NO PRAZO","ATRASADO")))</f>
        <v>ATRASADO</v>
      </c>
      <c r="AN121" s="123">
        <f t="shared" si="282"/>
        <v>46231</v>
      </c>
      <c r="AO121" s="123"/>
      <c r="AP121" s="124">
        <f ca="1">IF($C121="","",IF(AO121="",TODAY()-AN121,AO121-AN121))</f>
        <v>90</v>
      </c>
      <c r="AQ121" s="124" t="str">
        <f ca="1">IF($C121="","",IF(AND($C121&lt;&gt;"",AO121=""),IF(AN121=TODAY(),"VENCE HOJE",IF(AN121&lt;TODAY(),"ATRASADO","NO PRAZO")),IF(AO121&lt;=AN121,"NO PRAZO","ATRASADO")))</f>
        <v>ATRASADO</v>
      </c>
      <c r="AR121" s="123"/>
      <c r="AS121" s="123"/>
      <c r="AT121" s="123"/>
      <c r="AU121" s="60" t="s">
        <v>601</v>
      </c>
      <c r="AV121" s="124" t="s">
        <v>101</v>
      </c>
      <c r="AW121" s="124" t="s">
        <v>87</v>
      </c>
    </row>
    <row r="122" spans="2:49" ht="52.8" x14ac:dyDescent="0.3">
      <c r="B122" s="119" t="str">
        <f>IF(Tabela1[[#This Row],[DATA]],PROPER(TEXT(Tabela1[[#This Row],[DATA]],"mmm")),"")</f>
        <v>Jul</v>
      </c>
      <c r="C122" s="120">
        <v>46224</v>
      </c>
      <c r="D122" s="120" t="str">
        <f t="shared" si="261"/>
        <v>Terça</v>
      </c>
      <c r="E122" s="153">
        <v>0.56944444444444442</v>
      </c>
      <c r="F122" s="67" t="str">
        <f t="shared" si="188"/>
        <v>TARDE</v>
      </c>
      <c r="G122" s="120" t="s">
        <v>628</v>
      </c>
      <c r="H122" s="121" t="s">
        <v>546</v>
      </c>
      <c r="I122" s="121" t="s">
        <v>84</v>
      </c>
      <c r="J122" s="121" t="s">
        <v>326</v>
      </c>
      <c r="K122" s="41" t="s">
        <v>696</v>
      </c>
      <c r="L122" s="142" t="s">
        <v>629</v>
      </c>
      <c r="M122" s="121" t="s">
        <v>182</v>
      </c>
      <c r="N122" s="4" t="s">
        <v>675</v>
      </c>
      <c r="O122" s="121" t="s">
        <v>78</v>
      </c>
      <c r="P122" s="121" t="s">
        <v>79</v>
      </c>
      <c r="Q122" s="121" t="s">
        <v>5</v>
      </c>
      <c r="R122" s="121" t="s">
        <v>29</v>
      </c>
      <c r="S122" s="121" t="s">
        <v>161</v>
      </c>
      <c r="T122" s="120">
        <f t="shared" si="265"/>
        <v>46224</v>
      </c>
      <c r="U122" s="120">
        <f t="shared" si="265"/>
        <v>46224</v>
      </c>
      <c r="V122" s="121">
        <f ca="1">IF($C122="","",IF(U122="",TODAY()-T122,U122-T122))</f>
        <v>0</v>
      </c>
      <c r="W122" s="121" t="str">
        <f ca="1">IF($C122="","",IF(AND($C122&lt;&gt;"",U122=""),IF(T122=TODAY(),"VENCE HOJE",IF(T122&lt;TODAY(),"ATRASADO","NO PRAZO")),IF(U122&lt;=T122,"NO PRAZO","ATRASADO")))</f>
        <v>NO PRAZO</v>
      </c>
      <c r="X122" s="120">
        <f t="shared" si="268"/>
        <v>46225</v>
      </c>
      <c r="Y122" s="120">
        <f t="shared" si="268"/>
        <v>46225</v>
      </c>
      <c r="Z122" s="121">
        <f ca="1">IF($C122="","",IF(Y122="",TODAY()-X122,Y122-X122))</f>
        <v>0</v>
      </c>
      <c r="AA122" s="121" t="str">
        <f ca="1">IF($C122="","",IF(AND($C122&lt;&gt;"",Y122=""),IF(X122=TODAY(),"VENCE HOJE",IF(X122&lt;TODAY(),"ATRASADO","NO PRAZO")),IF(Y122&lt;=X122,"NO PRAZO","ATRASADO")))</f>
        <v>NO PRAZO</v>
      </c>
      <c r="AB122" s="120">
        <f t="shared" si="271"/>
        <v>46225</v>
      </c>
      <c r="AC122" s="120">
        <f t="shared" si="271"/>
        <v>46225</v>
      </c>
      <c r="AD122" s="121">
        <f ca="1">IF($C122="","",IF(AC122="",TODAY()-AB122,AC122-AB122))</f>
        <v>0</v>
      </c>
      <c r="AE122" s="121" t="str">
        <f ca="1">IF($C122="","",IF(AND($C122&lt;&gt;"",AC122=""),IF(AB122=TODAY(),"VENCE HOJE",IF(AB122&lt;TODAY(),"ATRASADO","NO PRAZO")),IF(AC122&lt;=AB122,"NO PRAZO","ATRASADO")))</f>
        <v>NO PRAZO</v>
      </c>
      <c r="AF122" s="120">
        <f>IF($C122="","",$C122+8)</f>
        <v>46232</v>
      </c>
      <c r="AG122" s="120"/>
      <c r="AH122" s="121">
        <f ca="1">IF($C122="","",IF(AG122="",TODAY()-AF122,AG122-AF122))</f>
        <v>89</v>
      </c>
      <c r="AI122" s="121" t="str">
        <f ca="1">IF($C122="","",IF(AND($C122&lt;&gt;"",AG122=""),IF(AF122=TODAY(),"VENCE HOJE",IF(AF122&lt;TODAY(),"ATRASADO","NO PRAZO")),IF(AG122&lt;=AF122,"NO PRAZO","ATRASADO")))</f>
        <v>ATRASADO</v>
      </c>
      <c r="AJ122" s="120">
        <f>IF($C122="","",$C122+9)</f>
        <v>46233</v>
      </c>
      <c r="AK122" s="120"/>
      <c r="AL122" s="121">
        <f ca="1">IF($C122="","",IF(AK122="",TODAY()-AJ122,AK122-AJ122))</f>
        <v>88</v>
      </c>
      <c r="AM122" s="121" t="str">
        <f ca="1">IF($C122="","",IF(AND($C122&lt;&gt;"",AK122=""),IF(AJ122=TODAY(),"VENCE HOJE",IF(AJ122&lt;TODAY(),"ATRASADO","NO PRAZO")),IF(AK122&lt;=AJ122,"NO PRAZO","ATRASADO")))</f>
        <v>ATRASADO</v>
      </c>
      <c r="AN122" s="120">
        <f>IF($C122="","",$C122+10)</f>
        <v>46234</v>
      </c>
      <c r="AO122" s="120"/>
      <c r="AP122" s="121">
        <f ca="1">IF($C122="","",IF(AO122="",TODAY()-AN122,AO122-AN122))</f>
        <v>87</v>
      </c>
      <c r="AQ122" s="121" t="str">
        <f ca="1">IF($C122="","",IF(AND($C122&lt;&gt;"",AO122=""),IF(AN122=TODAY(),"VENCE HOJE",IF(AN122&lt;TODAY(),"ATRASADO","NO PRAZO")),IF(AO122&lt;=AN122,"NO PRAZO","ATRASADO")))</f>
        <v>ATRASADO</v>
      </c>
      <c r="AR122" s="120"/>
      <c r="AS122" s="120"/>
      <c r="AT122" s="120"/>
      <c r="AU122" s="52" t="s">
        <v>601</v>
      </c>
      <c r="AV122" s="121" t="s">
        <v>101</v>
      </c>
      <c r="AW122" s="121" t="s">
        <v>101</v>
      </c>
    </row>
    <row r="123" spans="2:49" ht="66" x14ac:dyDescent="0.3">
      <c r="B123" s="119" t="str">
        <f>IF(Tabela1[[#This Row],[DATA]],PROPER(TEXT(Tabela1[[#This Row],[DATA]],"mmm")),"")</f>
        <v>Jul</v>
      </c>
      <c r="C123" s="126">
        <v>46226</v>
      </c>
      <c r="D123" s="126" t="str">
        <f t="shared" si="261"/>
        <v>Quinta</v>
      </c>
      <c r="E123" s="151">
        <v>0.70833333333333337</v>
      </c>
      <c r="F123" s="67" t="str">
        <f t="shared" si="188"/>
        <v>TARDE</v>
      </c>
      <c r="G123" s="126" t="s">
        <v>630</v>
      </c>
      <c r="H123" s="127" t="s">
        <v>633</v>
      </c>
      <c r="I123" s="127" t="s">
        <v>84</v>
      </c>
      <c r="J123" s="127" t="s">
        <v>212</v>
      </c>
      <c r="K123" s="41" t="s">
        <v>695</v>
      </c>
      <c r="L123" s="144" t="s">
        <v>631</v>
      </c>
      <c r="M123" s="127" t="s">
        <v>155</v>
      </c>
      <c r="N123" s="4" t="s">
        <v>675</v>
      </c>
      <c r="O123" s="127" t="s">
        <v>198</v>
      </c>
      <c r="P123" s="127" t="s">
        <v>104</v>
      </c>
      <c r="Q123" s="127" t="s">
        <v>632</v>
      </c>
      <c r="R123" s="127" t="s">
        <v>632</v>
      </c>
      <c r="S123" s="127" t="s">
        <v>161</v>
      </c>
      <c r="T123" s="126">
        <f>IF($C123="","",$C123)</f>
        <v>46226</v>
      </c>
      <c r="U123" s="126">
        <f>IF($C123="","",$C123)</f>
        <v>46226</v>
      </c>
      <c r="V123" s="127">
        <f ca="1">IF($C123="","",IF(U123="",TODAY()-T123,U123-T123))</f>
        <v>0</v>
      </c>
      <c r="W123" s="127" t="str">
        <f ca="1">IF($C123="","",IF(AND($C123&lt;&gt;"",U123=""),IF(T123=TODAY(),"VENCE HOJE",IF(T123&lt;TODAY(),"ATRASADO","NO PRAZO")),IF(U123&lt;=T123,"NO PRAZO","ATRASADO")))</f>
        <v>NO PRAZO</v>
      </c>
      <c r="X123" s="126">
        <f>IF($C123="","",$C123+1)</f>
        <v>46227</v>
      </c>
      <c r="Y123" s="126">
        <f>IF($C123="","",$C123+1)</f>
        <v>46227</v>
      </c>
      <c r="Z123" s="127">
        <f ca="1">IF($C123="","",IF(Y123="",TODAY()-X123,Y123-X123))</f>
        <v>0</v>
      </c>
      <c r="AA123" s="127" t="str">
        <f ca="1">IF($C123="","",IF(AND($C123&lt;&gt;"",Y123=""),IF(X123=TODAY(),"VENCE HOJE",IF(X123&lt;TODAY(),"ATRASADO","NO PRAZO")),IF(Y123&lt;=X123,"NO PRAZO","ATRASADO")))</f>
        <v>NO PRAZO</v>
      </c>
      <c r="AB123" s="126">
        <f>IF($C123="","",$C123+1)</f>
        <v>46227</v>
      </c>
      <c r="AC123" s="126">
        <f>IF($C123="","",$C123+1)</f>
        <v>46227</v>
      </c>
      <c r="AD123" s="127">
        <f ca="1">IF($C123="","",IF(AC123="",TODAY()-AB123,AC123-AB123))</f>
        <v>0</v>
      </c>
      <c r="AE123" s="127" t="str">
        <f ca="1">IF($C123="","",IF(AND($C123&lt;&gt;"",AC123=""),IF(AB123=TODAY(),"VENCE HOJE",IF(AB123&lt;TODAY(),"ATRASADO","NO PRAZO")),IF(AC123&lt;=AB123,"NO PRAZO","ATRASADO")))</f>
        <v>NO PRAZO</v>
      </c>
      <c r="AF123" s="126">
        <f>IF($C123="","",$C123+8)</f>
        <v>46234</v>
      </c>
      <c r="AG123" s="126"/>
      <c r="AH123" s="127">
        <f ca="1">IF($C123="","",IF(AG123="",TODAY()-AF123,AG123-AF123))</f>
        <v>87</v>
      </c>
      <c r="AI123" s="127" t="str">
        <f ca="1">IF($C123="","",IF(AND($C123&lt;&gt;"",AG123=""),IF(AF123=TODAY(),"VENCE HOJE",IF(AF123&lt;TODAY(),"ATRASADO","NO PRAZO")),IF(AG123&lt;=AF123,"NO PRAZO","ATRASADO")))</f>
        <v>ATRASADO</v>
      </c>
      <c r="AJ123" s="126">
        <f>IF($C123="","",$C123+9)</f>
        <v>46235</v>
      </c>
      <c r="AK123" s="126"/>
      <c r="AL123" s="127">
        <f ca="1">IF($C123="","",IF(AK123="",TODAY()-AJ123,AK123-AJ123))</f>
        <v>86</v>
      </c>
      <c r="AM123" s="127" t="str">
        <f ca="1">IF($C123="","",IF(AND($C123&lt;&gt;"",AK123=""),IF(AJ123=TODAY(),"VENCE HOJE",IF(AJ123&lt;TODAY(),"ATRASADO","NO PRAZO")),IF(AK123&lt;=AJ123,"NO PRAZO","ATRASADO")))</f>
        <v>ATRASADO</v>
      </c>
      <c r="AN123" s="126">
        <f>IF($C123="","",$C123+10)</f>
        <v>46236</v>
      </c>
      <c r="AO123" s="126"/>
      <c r="AP123" s="127">
        <f ca="1">IF($C123="","",IF(AO123="",TODAY()-AN123,AO123-AN123))</f>
        <v>85</v>
      </c>
      <c r="AQ123" s="127" t="str">
        <f ca="1">IF($C123="","",IF(AND($C123&lt;&gt;"",AO123=""),IF(AN123=TODAY(),"VENCE HOJE",IF(AN123&lt;TODAY(),"ATRASADO","NO PRAZO")),IF(AO123&lt;=AN123,"NO PRAZO","ATRASADO")))</f>
        <v>ATRASADO</v>
      </c>
      <c r="AR123" s="126"/>
      <c r="AS123" s="126"/>
      <c r="AT123" s="126"/>
      <c r="AU123" s="52" t="s">
        <v>257</v>
      </c>
      <c r="AV123" s="127" t="s">
        <v>101</v>
      </c>
      <c r="AW123" s="127"/>
    </row>
    <row r="124" spans="2:49" ht="118.8" x14ac:dyDescent="0.3">
      <c r="B124" s="118" t="str">
        <f>IF(Tabela1[[#This Row],[DATA]],PROPER(TEXT(Tabela1[[#This Row],[DATA]],"mmm")),"")</f>
        <v>Ago</v>
      </c>
      <c r="C124" s="128">
        <v>46237</v>
      </c>
      <c r="D124" s="128" t="str">
        <f t="shared" si="261"/>
        <v>Segunda</v>
      </c>
      <c r="E124" s="152">
        <v>0.55347222222222225</v>
      </c>
      <c r="F124" s="67" t="str">
        <f t="shared" si="188"/>
        <v>TARDE</v>
      </c>
      <c r="G124" s="128" t="s">
        <v>635</v>
      </c>
      <c r="H124" s="129" t="s">
        <v>636</v>
      </c>
      <c r="I124" s="129" t="s">
        <v>24</v>
      </c>
      <c r="J124" s="129" t="s">
        <v>212</v>
      </c>
      <c r="K124" s="4" t="s">
        <v>694</v>
      </c>
      <c r="L124" s="145" t="s">
        <v>637</v>
      </c>
      <c r="M124" s="129" t="s">
        <v>638</v>
      </c>
      <c r="N124" s="4" t="s">
        <v>675</v>
      </c>
      <c r="O124" s="129" t="s">
        <v>78</v>
      </c>
      <c r="P124" s="129" t="s">
        <v>79</v>
      </c>
      <c r="Q124" s="129" t="s">
        <v>5</v>
      </c>
      <c r="R124" s="129" t="s">
        <v>251</v>
      </c>
      <c r="S124" s="129" t="s">
        <v>161</v>
      </c>
      <c r="T124" s="126">
        <f t="shared" ref="T124:U128" si="283">IF($C124="","",$C124)</f>
        <v>46237</v>
      </c>
      <c r="U124" s="126">
        <f t="shared" si="283"/>
        <v>46237</v>
      </c>
      <c r="V124" s="127">
        <f t="shared" ref="V124:V128" ca="1" si="284">IF($C124="","",IF(U124="",TODAY()-T124,U124-T124))</f>
        <v>0</v>
      </c>
      <c r="W124" s="127" t="str">
        <f t="shared" ref="W124:W128" ca="1" si="285">IF($C124="","",IF(AND($C124&lt;&gt;"",U124=""),IF(T124=TODAY(),"VENCE HOJE",IF(T124&lt;TODAY(),"ATRASADO","NO PRAZO")),IF(U124&lt;=T124,"NO PRAZO","ATRASADO")))</f>
        <v>NO PRAZO</v>
      </c>
      <c r="X124" s="126">
        <f t="shared" ref="X124:Y128" si="286">IF($C124="","",$C124+1)</f>
        <v>46238</v>
      </c>
      <c r="Y124" s="126">
        <f t="shared" si="286"/>
        <v>46238</v>
      </c>
      <c r="Z124" s="127">
        <f t="shared" ref="Z124:Z128" ca="1" si="287">IF($C124="","",IF(Y124="",TODAY()-X124,Y124-X124))</f>
        <v>0</v>
      </c>
      <c r="AA124" s="127" t="str">
        <f t="shared" ref="AA124:AA128" ca="1" si="288">IF($C124="","",IF(AND($C124&lt;&gt;"",Y124=""),IF(X124=TODAY(),"VENCE HOJE",IF(X124&lt;TODAY(),"ATRASADO","NO PRAZO")),IF(Y124&lt;=X124,"NO PRAZO","ATRASADO")))</f>
        <v>NO PRAZO</v>
      </c>
      <c r="AB124" s="126">
        <f t="shared" ref="AB124:AC128" si="289">IF($C124="","",$C124+1)</f>
        <v>46238</v>
      </c>
      <c r="AC124" s="126">
        <f t="shared" si="289"/>
        <v>46238</v>
      </c>
      <c r="AD124" s="127">
        <f t="shared" ref="AD124:AD128" ca="1" si="290">IF($C124="","",IF(AC124="",TODAY()-AB124,AC124-AB124))</f>
        <v>0</v>
      </c>
      <c r="AE124" s="127" t="str">
        <f t="shared" ref="AE124:AE128" ca="1" si="291">IF($C124="","",IF(AND($C124&lt;&gt;"",AC124=""),IF(AB124=TODAY(),"VENCE HOJE",IF(AB124&lt;TODAY(),"ATRASADO","NO PRAZO")),IF(AC124&lt;=AB124,"NO PRAZO","ATRASADO")))</f>
        <v>NO PRAZO</v>
      </c>
      <c r="AF124" s="126">
        <f t="shared" ref="AF124:AF128" si="292">IF($C124="","",$C124+8)</f>
        <v>46245</v>
      </c>
      <c r="AG124" s="126"/>
      <c r="AH124" s="127">
        <f t="shared" ref="AH124:AH128" ca="1" si="293">IF($C124="","",IF(AG124="",TODAY()-AF124,AG124-AF124))</f>
        <v>76</v>
      </c>
      <c r="AI124" s="127" t="str">
        <f t="shared" ref="AI124:AI128" ca="1" si="294">IF($C124="","",IF(AND($C124&lt;&gt;"",AG124=""),IF(AF124=TODAY(),"VENCE HOJE",IF(AF124&lt;TODAY(),"ATRASADO","NO PRAZO")),IF(AG124&lt;=AF124,"NO PRAZO","ATRASADO")))</f>
        <v>ATRASADO</v>
      </c>
      <c r="AJ124" s="126">
        <f t="shared" ref="AJ124:AJ128" si="295">IF($C124="","",$C124+9)</f>
        <v>46246</v>
      </c>
      <c r="AK124" s="126"/>
      <c r="AL124" s="127">
        <f t="shared" ref="AL124:AL128" ca="1" si="296">IF($C124="","",IF(AK124="",TODAY()-AJ124,AK124-AJ124))</f>
        <v>75</v>
      </c>
      <c r="AM124" s="127" t="str">
        <f t="shared" ref="AM124:AM128" ca="1" si="297">IF($C124="","",IF(AND($C124&lt;&gt;"",AK124=""),IF(AJ124=TODAY(),"VENCE HOJE",IF(AJ124&lt;TODAY(),"ATRASADO","NO PRAZO")),IF(AK124&lt;=AJ124,"NO PRAZO","ATRASADO")))</f>
        <v>ATRASADO</v>
      </c>
      <c r="AN124" s="126">
        <f t="shared" ref="AN124:AN128" si="298">IF($C124="","",$C124+10)</f>
        <v>46247</v>
      </c>
      <c r="AO124" s="126"/>
      <c r="AP124" s="127">
        <f t="shared" ref="AP124:AP128" ca="1" si="299">IF($C124="","",IF(AO124="",TODAY()-AN124,AO124-AN124))</f>
        <v>74</v>
      </c>
      <c r="AQ124" s="127" t="str">
        <f t="shared" ref="AQ124:AQ128" ca="1" si="300">IF($C124="","",IF(AND($C124&lt;&gt;"",AO124=""),IF(AN124=TODAY(),"VENCE HOJE",IF(AN124&lt;TODAY(),"ATRASADO","NO PRAZO")),IF(AO124&lt;=AN124,"NO PRAZO","ATRASADO")))</f>
        <v>ATRASADO</v>
      </c>
      <c r="AR124" s="128"/>
      <c r="AS124" s="128"/>
      <c r="AT124" s="128"/>
      <c r="AU124" s="60" t="s">
        <v>251</v>
      </c>
      <c r="AV124" s="129" t="s">
        <v>101</v>
      </c>
      <c r="AW124" s="129"/>
    </row>
    <row r="125" spans="2:49" ht="92.4" x14ac:dyDescent="0.3">
      <c r="B125" s="118" t="str">
        <f>IF(Tabela1[[#This Row],[DATA]],PROPER(TEXT(Tabela1[[#This Row],[DATA]],"mmm")),"")</f>
        <v>Ago</v>
      </c>
      <c r="C125" s="126">
        <v>46240</v>
      </c>
      <c r="D125" s="126" t="str">
        <f t="shared" si="261"/>
        <v>Quinta</v>
      </c>
      <c r="E125" s="151">
        <v>0.42708333333333331</v>
      </c>
      <c r="F125" s="67" t="str">
        <f t="shared" si="188"/>
        <v>MANHÃ</v>
      </c>
      <c r="G125" s="126" t="s">
        <v>639</v>
      </c>
      <c r="H125" s="41" t="s">
        <v>650</v>
      </c>
      <c r="I125" s="127" t="s">
        <v>84</v>
      </c>
      <c r="J125" s="127" t="s">
        <v>212</v>
      </c>
      <c r="K125" s="41" t="s">
        <v>693</v>
      </c>
      <c r="L125" s="144" t="s">
        <v>640</v>
      </c>
      <c r="M125" s="127" t="s">
        <v>641</v>
      </c>
      <c r="N125" s="4" t="s">
        <v>675</v>
      </c>
      <c r="O125" s="127" t="s">
        <v>78</v>
      </c>
      <c r="P125" s="127" t="s">
        <v>79</v>
      </c>
      <c r="Q125" s="127" t="s">
        <v>5</v>
      </c>
      <c r="R125" s="127" t="s">
        <v>251</v>
      </c>
      <c r="S125" s="127" t="s">
        <v>161</v>
      </c>
      <c r="T125" s="126">
        <f t="shared" si="283"/>
        <v>46240</v>
      </c>
      <c r="U125" s="126">
        <f t="shared" si="283"/>
        <v>46240</v>
      </c>
      <c r="V125" s="127">
        <f t="shared" ca="1" si="284"/>
        <v>0</v>
      </c>
      <c r="W125" s="127" t="str">
        <f t="shared" ca="1" si="285"/>
        <v>NO PRAZO</v>
      </c>
      <c r="X125" s="126">
        <f t="shared" si="286"/>
        <v>46241</v>
      </c>
      <c r="Y125" s="126">
        <f t="shared" si="286"/>
        <v>46241</v>
      </c>
      <c r="Z125" s="127">
        <f t="shared" ca="1" si="287"/>
        <v>0</v>
      </c>
      <c r="AA125" s="127" t="str">
        <f t="shared" ca="1" si="288"/>
        <v>NO PRAZO</v>
      </c>
      <c r="AB125" s="126">
        <f t="shared" si="289"/>
        <v>46241</v>
      </c>
      <c r="AC125" s="126">
        <f t="shared" si="289"/>
        <v>46241</v>
      </c>
      <c r="AD125" s="127">
        <f t="shared" ca="1" si="290"/>
        <v>0</v>
      </c>
      <c r="AE125" s="127" t="str">
        <f t="shared" ca="1" si="291"/>
        <v>NO PRAZO</v>
      </c>
      <c r="AF125" s="126">
        <f t="shared" si="292"/>
        <v>46248</v>
      </c>
      <c r="AG125" s="126"/>
      <c r="AH125" s="127">
        <f t="shared" ca="1" si="293"/>
        <v>73</v>
      </c>
      <c r="AI125" s="127" t="str">
        <f t="shared" ca="1" si="294"/>
        <v>ATRASADO</v>
      </c>
      <c r="AJ125" s="126">
        <f t="shared" si="295"/>
        <v>46249</v>
      </c>
      <c r="AK125" s="126"/>
      <c r="AL125" s="127">
        <f t="shared" ca="1" si="296"/>
        <v>72</v>
      </c>
      <c r="AM125" s="127" t="str">
        <f t="shared" ca="1" si="297"/>
        <v>ATRASADO</v>
      </c>
      <c r="AN125" s="126">
        <f t="shared" si="298"/>
        <v>46250</v>
      </c>
      <c r="AO125" s="126"/>
      <c r="AP125" s="127">
        <f t="shared" ca="1" si="299"/>
        <v>71</v>
      </c>
      <c r="AQ125" s="127" t="str">
        <f t="shared" ca="1" si="300"/>
        <v>ATRASADO</v>
      </c>
      <c r="AR125" s="126"/>
      <c r="AS125" s="126"/>
      <c r="AT125" s="126"/>
      <c r="AU125" s="52" t="s">
        <v>251</v>
      </c>
      <c r="AV125" s="127" t="s">
        <v>101</v>
      </c>
      <c r="AW125" s="127"/>
    </row>
    <row r="126" spans="2:49" ht="66" x14ac:dyDescent="0.3">
      <c r="B126" s="118" t="str">
        <f>IF(Tabela1[[#This Row],[DATA]],PROPER(TEXT(Tabela1[[#This Row],[DATA]],"mmm")),"")</f>
        <v>Ago</v>
      </c>
      <c r="C126" s="67">
        <v>46245</v>
      </c>
      <c r="D126" s="67" t="str">
        <f t="shared" si="261"/>
        <v>Terça</v>
      </c>
      <c r="E126" s="148">
        <v>0.46388888888888891</v>
      </c>
      <c r="F126" s="67" t="str">
        <f t="shared" si="188"/>
        <v>MANHÃ</v>
      </c>
      <c r="G126" s="67" t="s">
        <v>642</v>
      </c>
      <c r="H126" s="4" t="s">
        <v>470</v>
      </c>
      <c r="I126" s="4" t="s">
        <v>24</v>
      </c>
      <c r="J126" s="4" t="s">
        <v>300</v>
      </c>
      <c r="K126" s="4" t="s">
        <v>692</v>
      </c>
      <c r="L126" s="74" t="s">
        <v>643</v>
      </c>
      <c r="M126" s="4" t="s">
        <v>570</v>
      </c>
      <c r="N126" s="4" t="s">
        <v>676</v>
      </c>
      <c r="O126" s="4" t="s">
        <v>25</v>
      </c>
      <c r="P126" s="4" t="s">
        <v>26</v>
      </c>
      <c r="Q126" s="4" t="s">
        <v>5</v>
      </c>
      <c r="R126" s="4" t="s">
        <v>29</v>
      </c>
      <c r="S126" s="4" t="s">
        <v>161</v>
      </c>
      <c r="T126" s="126">
        <f t="shared" si="283"/>
        <v>46245</v>
      </c>
      <c r="U126" s="126">
        <f t="shared" si="283"/>
        <v>46245</v>
      </c>
      <c r="V126" s="127">
        <f t="shared" ca="1" si="284"/>
        <v>0</v>
      </c>
      <c r="W126" s="127" t="str">
        <f t="shared" ca="1" si="285"/>
        <v>NO PRAZO</v>
      </c>
      <c r="X126" s="126">
        <f t="shared" si="286"/>
        <v>46246</v>
      </c>
      <c r="Y126" s="126">
        <f t="shared" si="286"/>
        <v>46246</v>
      </c>
      <c r="Z126" s="127">
        <f t="shared" ca="1" si="287"/>
        <v>0</v>
      </c>
      <c r="AA126" s="127" t="str">
        <f t="shared" ca="1" si="288"/>
        <v>NO PRAZO</v>
      </c>
      <c r="AB126" s="126">
        <f t="shared" si="289"/>
        <v>46246</v>
      </c>
      <c r="AC126" s="126">
        <f t="shared" si="289"/>
        <v>46246</v>
      </c>
      <c r="AD126" s="127">
        <f t="shared" ca="1" si="290"/>
        <v>0</v>
      </c>
      <c r="AE126" s="127" t="str">
        <f t="shared" ca="1" si="291"/>
        <v>NO PRAZO</v>
      </c>
      <c r="AF126" s="126">
        <f t="shared" si="292"/>
        <v>46253</v>
      </c>
      <c r="AG126" s="126"/>
      <c r="AH126" s="127">
        <f t="shared" ca="1" si="293"/>
        <v>68</v>
      </c>
      <c r="AI126" s="127" t="str">
        <f t="shared" ca="1" si="294"/>
        <v>ATRASADO</v>
      </c>
      <c r="AJ126" s="126">
        <f t="shared" si="295"/>
        <v>46254</v>
      </c>
      <c r="AK126" s="126"/>
      <c r="AL126" s="127">
        <f t="shared" ca="1" si="296"/>
        <v>67</v>
      </c>
      <c r="AM126" s="127" t="str">
        <f t="shared" ca="1" si="297"/>
        <v>ATRASADO</v>
      </c>
      <c r="AN126" s="126">
        <f t="shared" si="298"/>
        <v>46255</v>
      </c>
      <c r="AO126" s="126"/>
      <c r="AP126" s="127">
        <f t="shared" ca="1" si="299"/>
        <v>66</v>
      </c>
      <c r="AQ126" s="127" t="str">
        <f t="shared" ca="1" si="300"/>
        <v>ATRASADO</v>
      </c>
      <c r="AR126" s="67"/>
      <c r="AS126" s="67"/>
      <c r="AT126" s="67"/>
      <c r="AU126" s="60" t="s">
        <v>601</v>
      </c>
      <c r="AV126" s="4" t="s">
        <v>101</v>
      </c>
      <c r="AW126" s="4" t="s">
        <v>87</v>
      </c>
    </row>
    <row r="127" spans="2:49" ht="66" x14ac:dyDescent="0.3">
      <c r="B127" s="118" t="str">
        <f>IF(Tabela1[[#This Row],[DATA]],PROPER(TEXT(Tabela1[[#This Row],[DATA]],"mmm")),"")</f>
        <v>Ago</v>
      </c>
      <c r="C127" s="67">
        <v>46246</v>
      </c>
      <c r="D127" s="67" t="str">
        <f t="shared" si="261"/>
        <v>Quarta</v>
      </c>
      <c r="E127" s="148">
        <v>0.69027777777777777</v>
      </c>
      <c r="F127" s="67" t="str">
        <f t="shared" si="188"/>
        <v>TARDE</v>
      </c>
      <c r="G127" s="67" t="s">
        <v>644</v>
      </c>
      <c r="H127" s="4" t="s">
        <v>429</v>
      </c>
      <c r="I127" s="4" t="s">
        <v>84</v>
      </c>
      <c r="J127" s="4" t="s">
        <v>300</v>
      </c>
      <c r="K127" s="4" t="s">
        <v>691</v>
      </c>
      <c r="L127" s="74" t="s">
        <v>645</v>
      </c>
      <c r="M127" s="4" t="s">
        <v>646</v>
      </c>
      <c r="N127" s="4" t="s">
        <v>676</v>
      </c>
      <c r="O127" s="4" t="s">
        <v>198</v>
      </c>
      <c r="P127" s="4" t="s">
        <v>104</v>
      </c>
      <c r="Q127" s="4" t="s">
        <v>5</v>
      </c>
      <c r="R127" s="4" t="s">
        <v>29</v>
      </c>
      <c r="S127" s="4"/>
      <c r="T127" s="126">
        <f t="shared" si="283"/>
        <v>46246</v>
      </c>
      <c r="U127" s="126">
        <f t="shared" si="283"/>
        <v>46246</v>
      </c>
      <c r="V127" s="127">
        <f t="shared" ca="1" si="284"/>
        <v>0</v>
      </c>
      <c r="W127" s="127" t="str">
        <f t="shared" ca="1" si="285"/>
        <v>NO PRAZO</v>
      </c>
      <c r="X127" s="126">
        <f t="shared" si="286"/>
        <v>46247</v>
      </c>
      <c r="Y127" s="126">
        <f t="shared" si="286"/>
        <v>46247</v>
      </c>
      <c r="Z127" s="127">
        <f t="shared" ca="1" si="287"/>
        <v>0</v>
      </c>
      <c r="AA127" s="127" t="str">
        <f t="shared" ca="1" si="288"/>
        <v>NO PRAZO</v>
      </c>
      <c r="AB127" s="126">
        <f t="shared" si="289"/>
        <v>46247</v>
      </c>
      <c r="AC127" s="126">
        <f t="shared" si="289"/>
        <v>46247</v>
      </c>
      <c r="AD127" s="127">
        <f t="shared" ca="1" si="290"/>
        <v>0</v>
      </c>
      <c r="AE127" s="127" t="str">
        <f t="shared" ca="1" si="291"/>
        <v>NO PRAZO</v>
      </c>
      <c r="AF127" s="126">
        <f t="shared" si="292"/>
        <v>46254</v>
      </c>
      <c r="AG127" s="126"/>
      <c r="AH127" s="127">
        <f t="shared" ca="1" si="293"/>
        <v>67</v>
      </c>
      <c r="AI127" s="127" t="str">
        <f t="shared" ca="1" si="294"/>
        <v>ATRASADO</v>
      </c>
      <c r="AJ127" s="126">
        <f t="shared" si="295"/>
        <v>46255</v>
      </c>
      <c r="AK127" s="126"/>
      <c r="AL127" s="127">
        <f t="shared" ca="1" si="296"/>
        <v>66</v>
      </c>
      <c r="AM127" s="127" t="str">
        <f t="shared" ca="1" si="297"/>
        <v>ATRASADO</v>
      </c>
      <c r="AN127" s="126">
        <f t="shared" si="298"/>
        <v>46256</v>
      </c>
      <c r="AO127" s="126"/>
      <c r="AP127" s="127">
        <f t="shared" ca="1" si="299"/>
        <v>65</v>
      </c>
      <c r="AQ127" s="127" t="str">
        <f t="shared" ca="1" si="300"/>
        <v>ATRASADO</v>
      </c>
      <c r="AR127" s="67"/>
      <c r="AS127" s="67"/>
      <c r="AT127" s="67"/>
      <c r="AU127" s="60" t="s">
        <v>601</v>
      </c>
      <c r="AV127" s="4" t="s">
        <v>101</v>
      </c>
      <c r="AW127" s="4" t="s">
        <v>87</v>
      </c>
    </row>
    <row r="128" spans="2:49" ht="66" x14ac:dyDescent="0.3">
      <c r="B128" s="118" t="str">
        <f>IF(Tabela1[[#This Row],[DATA]],PROPER(TEXT(Tabela1[[#This Row],[DATA]],"mmm")),"")</f>
        <v>Ago</v>
      </c>
      <c r="C128" s="80">
        <v>46248</v>
      </c>
      <c r="D128" s="80" t="str">
        <f t="shared" si="261"/>
        <v>Sexta</v>
      </c>
      <c r="E128" s="149">
        <v>0.69930555555555551</v>
      </c>
      <c r="F128" s="67" t="str">
        <f t="shared" si="188"/>
        <v>TARDE</v>
      </c>
      <c r="G128" s="80" t="s">
        <v>647</v>
      </c>
      <c r="H128" s="41" t="s">
        <v>648</v>
      </c>
      <c r="I128" s="41" t="s">
        <v>84</v>
      </c>
      <c r="J128" s="41" t="s">
        <v>300</v>
      </c>
      <c r="K128" s="41" t="s">
        <v>690</v>
      </c>
      <c r="L128" s="137" t="s">
        <v>649</v>
      </c>
      <c r="M128" s="41" t="s">
        <v>646</v>
      </c>
      <c r="N128" s="4" t="s">
        <v>676</v>
      </c>
      <c r="O128" s="41" t="s">
        <v>299</v>
      </c>
      <c r="P128" s="41" t="s">
        <v>104</v>
      </c>
      <c r="Q128" s="41" t="s">
        <v>5</v>
      </c>
      <c r="R128" s="41" t="s">
        <v>29</v>
      </c>
      <c r="S128" s="41" t="s">
        <v>161</v>
      </c>
      <c r="T128" s="126">
        <f t="shared" si="283"/>
        <v>46248</v>
      </c>
      <c r="U128" s="126">
        <f t="shared" si="283"/>
        <v>46248</v>
      </c>
      <c r="V128" s="127">
        <f t="shared" ca="1" si="284"/>
        <v>0</v>
      </c>
      <c r="W128" s="127" t="str">
        <f t="shared" ca="1" si="285"/>
        <v>NO PRAZO</v>
      </c>
      <c r="X128" s="126">
        <f t="shared" si="286"/>
        <v>46249</v>
      </c>
      <c r="Y128" s="126">
        <f t="shared" si="286"/>
        <v>46249</v>
      </c>
      <c r="Z128" s="127">
        <f t="shared" ca="1" si="287"/>
        <v>0</v>
      </c>
      <c r="AA128" s="127" t="str">
        <f t="shared" ca="1" si="288"/>
        <v>NO PRAZO</v>
      </c>
      <c r="AB128" s="126">
        <f t="shared" si="289"/>
        <v>46249</v>
      </c>
      <c r="AC128" s="126">
        <f t="shared" si="289"/>
        <v>46249</v>
      </c>
      <c r="AD128" s="127">
        <f t="shared" ca="1" si="290"/>
        <v>0</v>
      </c>
      <c r="AE128" s="127" t="str">
        <f t="shared" ca="1" si="291"/>
        <v>NO PRAZO</v>
      </c>
      <c r="AF128" s="126">
        <f t="shared" si="292"/>
        <v>46256</v>
      </c>
      <c r="AG128" s="126"/>
      <c r="AH128" s="127">
        <f t="shared" ca="1" si="293"/>
        <v>65</v>
      </c>
      <c r="AI128" s="127" t="str">
        <f t="shared" ca="1" si="294"/>
        <v>ATRASADO</v>
      </c>
      <c r="AJ128" s="126">
        <f t="shared" si="295"/>
        <v>46257</v>
      </c>
      <c r="AK128" s="126"/>
      <c r="AL128" s="127">
        <f t="shared" ca="1" si="296"/>
        <v>64</v>
      </c>
      <c r="AM128" s="127" t="str">
        <f t="shared" ca="1" si="297"/>
        <v>ATRASADO</v>
      </c>
      <c r="AN128" s="126">
        <f t="shared" si="298"/>
        <v>46258</v>
      </c>
      <c r="AO128" s="126"/>
      <c r="AP128" s="127">
        <f t="shared" ca="1" si="299"/>
        <v>63</v>
      </c>
      <c r="AQ128" s="127" t="str">
        <f t="shared" ca="1" si="300"/>
        <v>ATRASADO</v>
      </c>
      <c r="AR128" s="80"/>
      <c r="AS128" s="80"/>
      <c r="AT128" s="80"/>
      <c r="AU128" s="52" t="s">
        <v>601</v>
      </c>
      <c r="AV128" s="41" t="s">
        <v>101</v>
      </c>
      <c r="AW128" s="41" t="s">
        <v>87</v>
      </c>
    </row>
    <row r="129" spans="2:49" ht="52.8" x14ac:dyDescent="0.3">
      <c r="B129" s="118" t="str">
        <f>IF(Tabela1[[#This Row],[DATA]],PROPER(TEXT(Tabela1[[#This Row],[DATA]],"mmm")),"")</f>
        <v>Set</v>
      </c>
      <c r="C129" s="80">
        <v>46268</v>
      </c>
      <c r="D129" s="80" t="str">
        <f t="shared" si="261"/>
        <v>Quinta</v>
      </c>
      <c r="E129" s="149">
        <v>0.41666666666666669</v>
      </c>
      <c r="F129" s="67" t="str">
        <f t="shared" si="188"/>
        <v>MANHÃ</v>
      </c>
      <c r="G129" s="80" t="s">
        <v>342</v>
      </c>
      <c r="H129" s="41" t="s">
        <v>343</v>
      </c>
      <c r="I129" s="41" t="s">
        <v>222</v>
      </c>
      <c r="J129" s="41" t="s">
        <v>593</v>
      </c>
      <c r="K129" s="41" t="s">
        <v>684</v>
      </c>
      <c r="L129" s="137" t="s">
        <v>651</v>
      </c>
      <c r="M129" s="41" t="s">
        <v>612</v>
      </c>
      <c r="N129" s="4" t="s">
        <v>675</v>
      </c>
      <c r="O129" s="41" t="s">
        <v>78</v>
      </c>
      <c r="P129" s="41" t="s">
        <v>79</v>
      </c>
      <c r="Q129" s="41" t="s">
        <v>5</v>
      </c>
      <c r="R129" s="41" t="s">
        <v>29</v>
      </c>
      <c r="S129" s="41" t="s">
        <v>161</v>
      </c>
      <c r="T129" s="80">
        <v>46268</v>
      </c>
      <c r="U129" s="80">
        <v>46268</v>
      </c>
      <c r="V129" s="41">
        <v>0</v>
      </c>
      <c r="W129" s="41" t="s">
        <v>560</v>
      </c>
      <c r="X129" s="80">
        <v>46269</v>
      </c>
      <c r="Y129" s="80">
        <v>46269</v>
      </c>
      <c r="Z129" s="41">
        <v>0</v>
      </c>
      <c r="AA129" s="41" t="s">
        <v>560</v>
      </c>
      <c r="AB129" s="80">
        <v>46269</v>
      </c>
      <c r="AC129" s="80">
        <v>46269</v>
      </c>
      <c r="AD129" s="41">
        <v>0</v>
      </c>
      <c r="AE129" s="41" t="s">
        <v>560</v>
      </c>
      <c r="AF129" s="80">
        <v>46276</v>
      </c>
      <c r="AG129" s="80">
        <v>46276</v>
      </c>
      <c r="AH129" s="41">
        <v>0</v>
      </c>
      <c r="AI129" s="41" t="s">
        <v>560</v>
      </c>
      <c r="AJ129" s="80">
        <v>46277</v>
      </c>
      <c r="AK129" s="80">
        <v>46277</v>
      </c>
      <c r="AL129" s="41">
        <v>0</v>
      </c>
      <c r="AM129" s="41" t="s">
        <v>560</v>
      </c>
      <c r="AN129" s="80">
        <v>46278</v>
      </c>
      <c r="AO129" s="80">
        <v>46278</v>
      </c>
      <c r="AP129" s="41">
        <v>0</v>
      </c>
      <c r="AQ129" s="41" t="s">
        <v>560</v>
      </c>
      <c r="AR129" s="80"/>
      <c r="AS129" s="80"/>
      <c r="AT129" s="80"/>
      <c r="AU129" s="52" t="s">
        <v>602</v>
      </c>
      <c r="AV129" s="41" t="s">
        <v>101</v>
      </c>
      <c r="AW129" s="41"/>
    </row>
    <row r="130" spans="2:49" ht="39.6" x14ac:dyDescent="0.3">
      <c r="B130" s="118" t="str">
        <f>IF(Tabela1[[#This Row],[DATA]],PROPER(TEXT(Tabela1[[#This Row],[DATA]],"mmm")),"")</f>
        <v>Set</v>
      </c>
      <c r="C130" s="80">
        <v>46275</v>
      </c>
      <c r="D130" s="80" t="str">
        <f t="shared" si="261"/>
        <v>Quinta</v>
      </c>
      <c r="E130" s="149">
        <v>0.47222222222222221</v>
      </c>
      <c r="F130" s="67" t="str">
        <f t="shared" si="188"/>
        <v>MANHÃ</v>
      </c>
      <c r="G130" s="80" t="s">
        <v>652</v>
      </c>
      <c r="H130" s="41" t="s">
        <v>482</v>
      </c>
      <c r="I130" s="41" t="s">
        <v>84</v>
      </c>
      <c r="J130" s="41" t="s">
        <v>212</v>
      </c>
      <c r="K130" s="41" t="s">
        <v>689</v>
      </c>
      <c r="L130" s="137" t="s">
        <v>653</v>
      </c>
      <c r="M130" s="41" t="s">
        <v>178</v>
      </c>
      <c r="N130" s="4" t="s">
        <v>675</v>
      </c>
      <c r="O130" s="41" t="s">
        <v>96</v>
      </c>
      <c r="P130" s="41" t="s">
        <v>97</v>
      </c>
      <c r="Q130" s="41" t="s">
        <v>5</v>
      </c>
      <c r="R130" s="41" t="s">
        <v>29</v>
      </c>
      <c r="S130" s="41" t="s">
        <v>161</v>
      </c>
      <c r="T130" s="80">
        <v>46275</v>
      </c>
      <c r="U130" s="80">
        <v>46275</v>
      </c>
      <c r="V130" s="41">
        <v>0</v>
      </c>
      <c r="W130" s="41" t="s">
        <v>560</v>
      </c>
      <c r="X130" s="80">
        <v>46276</v>
      </c>
      <c r="Y130" s="80">
        <v>46276</v>
      </c>
      <c r="Z130" s="41">
        <v>0</v>
      </c>
      <c r="AA130" s="41" t="s">
        <v>560</v>
      </c>
      <c r="AB130" s="80">
        <v>46276</v>
      </c>
      <c r="AC130" s="80">
        <v>46276</v>
      </c>
      <c r="AD130" s="41">
        <v>0</v>
      </c>
      <c r="AE130" s="41" t="s">
        <v>560</v>
      </c>
      <c r="AF130" s="80">
        <v>46283</v>
      </c>
      <c r="AG130" s="80">
        <v>46283</v>
      </c>
      <c r="AH130" s="41">
        <v>0</v>
      </c>
      <c r="AI130" s="41" t="s">
        <v>560</v>
      </c>
      <c r="AJ130" s="80">
        <v>46284</v>
      </c>
      <c r="AK130" s="80">
        <v>46284</v>
      </c>
      <c r="AL130" s="41">
        <v>0</v>
      </c>
      <c r="AM130" s="41" t="s">
        <v>560</v>
      </c>
      <c r="AN130" s="80">
        <v>46285</v>
      </c>
      <c r="AO130" s="80">
        <v>46285</v>
      </c>
      <c r="AP130" s="41">
        <v>0</v>
      </c>
      <c r="AQ130" s="41" t="s">
        <v>560</v>
      </c>
      <c r="AR130" s="80"/>
      <c r="AS130" s="80"/>
      <c r="AT130" s="80"/>
      <c r="AU130" s="52" t="s">
        <v>251</v>
      </c>
      <c r="AV130" s="41" t="s">
        <v>101</v>
      </c>
      <c r="AW130" s="41"/>
    </row>
    <row r="131" spans="2:49" ht="39.6" x14ac:dyDescent="0.3">
      <c r="B131" s="118" t="str">
        <f>IF(Tabela1[[#This Row],[DATA]],PROPER(TEXT(Tabela1[[#This Row],[DATA]],"mmm")),"")</f>
        <v>Set</v>
      </c>
      <c r="C131" s="80">
        <v>46277</v>
      </c>
      <c r="D131" s="80" t="str">
        <f t="shared" si="261"/>
        <v>Sábado</v>
      </c>
      <c r="E131" s="149">
        <v>0.14583333333333334</v>
      </c>
      <c r="F131" s="67" t="str">
        <f t="shared" si="188"/>
        <v>NOITE</v>
      </c>
      <c r="G131" s="80" t="s">
        <v>654</v>
      </c>
      <c r="H131" s="41" t="s">
        <v>655</v>
      </c>
      <c r="I131" s="41" t="s">
        <v>84</v>
      </c>
      <c r="J131" s="41" t="s">
        <v>265</v>
      </c>
      <c r="K131" s="41" t="s">
        <v>688</v>
      </c>
      <c r="L131" s="137" t="s">
        <v>687</v>
      </c>
      <c r="M131" s="41" t="s">
        <v>202</v>
      </c>
      <c r="N131" s="4" t="s">
        <v>675</v>
      </c>
      <c r="O131" s="41" t="s">
        <v>303</v>
      </c>
      <c r="P131" s="41" t="s">
        <v>79</v>
      </c>
      <c r="Q131" s="41" t="s">
        <v>5</v>
      </c>
      <c r="R131" s="41" t="s">
        <v>29</v>
      </c>
      <c r="S131" s="41"/>
      <c r="T131" s="80">
        <v>46277</v>
      </c>
      <c r="U131" s="80">
        <v>46277</v>
      </c>
      <c r="V131" s="41">
        <v>0</v>
      </c>
      <c r="W131" s="41" t="s">
        <v>560</v>
      </c>
      <c r="X131" s="80">
        <v>46278</v>
      </c>
      <c r="Y131" s="80">
        <v>46278</v>
      </c>
      <c r="Z131" s="41">
        <v>0</v>
      </c>
      <c r="AA131" s="41" t="s">
        <v>560</v>
      </c>
      <c r="AB131" s="80">
        <v>46278</v>
      </c>
      <c r="AC131" s="80">
        <v>46278</v>
      </c>
      <c r="AD131" s="41">
        <v>0</v>
      </c>
      <c r="AE131" s="41" t="s">
        <v>560</v>
      </c>
      <c r="AF131" s="80">
        <v>46285</v>
      </c>
      <c r="AG131" s="80">
        <v>46285</v>
      </c>
      <c r="AH131" s="41">
        <v>0</v>
      </c>
      <c r="AI131" s="41" t="s">
        <v>560</v>
      </c>
      <c r="AJ131" s="80">
        <v>46286</v>
      </c>
      <c r="AK131" s="80">
        <v>46286</v>
      </c>
      <c r="AL131" s="41">
        <v>0</v>
      </c>
      <c r="AM131" s="41" t="s">
        <v>560</v>
      </c>
      <c r="AN131" s="80">
        <v>46287</v>
      </c>
      <c r="AO131" s="80"/>
      <c r="AP131" s="41">
        <v>-1</v>
      </c>
      <c r="AQ131" s="41" t="s">
        <v>560</v>
      </c>
      <c r="AR131" s="80"/>
      <c r="AS131" s="80"/>
      <c r="AT131" s="80"/>
      <c r="AU131" s="52" t="s">
        <v>602</v>
      </c>
      <c r="AV131" s="41" t="s">
        <v>101</v>
      </c>
      <c r="AW131" s="41"/>
    </row>
    <row r="132" spans="2:49" ht="39.6" x14ac:dyDescent="0.3">
      <c r="B132" s="118" t="str">
        <f>IF(Tabela1[[#This Row],[DATA]],PROPER(TEXT(Tabela1[[#This Row],[DATA]],"mmm")),"")</f>
        <v>Set</v>
      </c>
      <c r="C132" s="67">
        <v>46281</v>
      </c>
      <c r="D132" s="67" t="str">
        <f t="shared" si="261"/>
        <v>Quarta</v>
      </c>
      <c r="E132" s="148">
        <v>0.69097222222222221</v>
      </c>
      <c r="F132" s="67" t="str">
        <f t="shared" si="188"/>
        <v>TARDE</v>
      </c>
      <c r="G132" s="67" t="s">
        <v>656</v>
      </c>
      <c r="H132" s="4" t="s">
        <v>657</v>
      </c>
      <c r="I132" s="4" t="s">
        <v>84</v>
      </c>
      <c r="J132" s="4" t="s">
        <v>449</v>
      </c>
      <c r="K132" s="4" t="s">
        <v>686</v>
      </c>
      <c r="L132" s="74" t="s">
        <v>658</v>
      </c>
      <c r="M132" s="4" t="s">
        <v>155</v>
      </c>
      <c r="N132" s="4" t="s">
        <v>675</v>
      </c>
      <c r="O132" s="4" t="s">
        <v>299</v>
      </c>
      <c r="P132" s="4" t="s">
        <v>104</v>
      </c>
      <c r="Q132" s="4" t="s">
        <v>5</v>
      </c>
      <c r="R132" s="4" t="s">
        <v>29</v>
      </c>
      <c r="S132" s="4"/>
      <c r="T132" s="67">
        <v>46281</v>
      </c>
      <c r="U132" s="67">
        <v>46281</v>
      </c>
      <c r="V132" s="4">
        <v>0</v>
      </c>
      <c r="W132" s="4" t="s">
        <v>560</v>
      </c>
      <c r="X132" s="67">
        <v>46282</v>
      </c>
      <c r="Y132" s="67">
        <v>46282</v>
      </c>
      <c r="Z132" s="4">
        <v>0</v>
      </c>
      <c r="AA132" s="4" t="s">
        <v>560</v>
      </c>
      <c r="AB132" s="67">
        <v>46282</v>
      </c>
      <c r="AC132" s="67">
        <v>46282</v>
      </c>
      <c r="AD132" s="4">
        <v>0</v>
      </c>
      <c r="AE132" s="4" t="s">
        <v>560</v>
      </c>
      <c r="AF132" s="67">
        <v>46289</v>
      </c>
      <c r="AG132" s="67"/>
      <c r="AH132" s="4">
        <v>-3</v>
      </c>
      <c r="AI132" s="4" t="s">
        <v>560</v>
      </c>
      <c r="AJ132" s="67">
        <v>46290</v>
      </c>
      <c r="AK132" s="67"/>
      <c r="AL132" s="4">
        <v>-4</v>
      </c>
      <c r="AM132" s="4" t="s">
        <v>560</v>
      </c>
      <c r="AN132" s="67">
        <v>46291</v>
      </c>
      <c r="AO132" s="67"/>
      <c r="AP132" s="4">
        <v>-5</v>
      </c>
      <c r="AQ132" s="4" t="s">
        <v>560</v>
      </c>
      <c r="AR132" s="67"/>
      <c r="AS132" s="67"/>
      <c r="AT132" s="67"/>
      <c r="AU132" s="60" t="s">
        <v>602</v>
      </c>
      <c r="AV132" s="4" t="s">
        <v>101</v>
      </c>
      <c r="AW132" s="4"/>
    </row>
    <row r="133" spans="2:49" ht="52.8" x14ac:dyDescent="0.3">
      <c r="B133" s="118" t="str">
        <f>IF(Tabela1[[#This Row],[DATA]],PROPER(TEXT(Tabela1[[#This Row],[DATA]],"mmm")),"")</f>
        <v>Set</v>
      </c>
      <c r="C133" s="67">
        <v>46283</v>
      </c>
      <c r="D133" s="67" t="str">
        <f t="shared" si="261"/>
        <v>Sexta</v>
      </c>
      <c r="E133" s="148">
        <v>0.64930555555555558</v>
      </c>
      <c r="F133" s="67" t="str">
        <f t="shared" si="188"/>
        <v>TARDE</v>
      </c>
      <c r="G133" s="67" t="s">
        <v>608</v>
      </c>
      <c r="H133" s="4" t="s">
        <v>562</v>
      </c>
      <c r="I133" s="4" t="s">
        <v>24</v>
      </c>
      <c r="J133" s="4" t="s">
        <v>300</v>
      </c>
      <c r="K133" s="4" t="s">
        <v>685</v>
      </c>
      <c r="L133" s="74" t="s">
        <v>659</v>
      </c>
      <c r="M133" s="4" t="s">
        <v>660</v>
      </c>
      <c r="N133" s="4" t="s">
        <v>676</v>
      </c>
      <c r="O133" s="4" t="s">
        <v>92</v>
      </c>
      <c r="P133" s="4" t="s">
        <v>93</v>
      </c>
      <c r="Q133" s="4" t="s">
        <v>5</v>
      </c>
      <c r="R133" s="4" t="s">
        <v>29</v>
      </c>
      <c r="S133" s="4" t="s">
        <v>161</v>
      </c>
      <c r="T133" s="67">
        <v>46283</v>
      </c>
      <c r="U133" s="67">
        <v>46283</v>
      </c>
      <c r="V133" s="4">
        <v>0</v>
      </c>
      <c r="W133" s="4" t="s">
        <v>560</v>
      </c>
      <c r="X133" s="67">
        <v>46284</v>
      </c>
      <c r="Y133" s="67">
        <v>46284</v>
      </c>
      <c r="Z133" s="4">
        <v>0</v>
      </c>
      <c r="AA133" s="4" t="s">
        <v>560</v>
      </c>
      <c r="AB133" s="67">
        <v>46284</v>
      </c>
      <c r="AC133" s="67">
        <v>46284</v>
      </c>
      <c r="AD133" s="4">
        <v>0</v>
      </c>
      <c r="AE133" s="4" t="s">
        <v>560</v>
      </c>
      <c r="AF133" s="67">
        <v>46291</v>
      </c>
      <c r="AG133" s="67"/>
      <c r="AH133" s="4">
        <v>-5</v>
      </c>
      <c r="AI133" s="4" t="s">
        <v>560</v>
      </c>
      <c r="AJ133" s="67">
        <v>46292</v>
      </c>
      <c r="AK133" s="67"/>
      <c r="AL133" s="4">
        <v>-6</v>
      </c>
      <c r="AM133" s="4" t="s">
        <v>560</v>
      </c>
      <c r="AN133" s="67">
        <v>46293</v>
      </c>
      <c r="AO133" s="67"/>
      <c r="AP133" s="4">
        <v>-7</v>
      </c>
      <c r="AQ133" s="4" t="s">
        <v>560</v>
      </c>
      <c r="AR133" s="67"/>
      <c r="AS133" s="67"/>
      <c r="AT133" s="67"/>
      <c r="AU133" s="60" t="s">
        <v>601</v>
      </c>
      <c r="AV133" s="4" t="s">
        <v>101</v>
      </c>
      <c r="AW133" s="4" t="s">
        <v>87</v>
      </c>
    </row>
    <row r="134" spans="2:49" ht="39.6" x14ac:dyDescent="0.3">
      <c r="B134" s="118" t="str">
        <f>IF(Tabela1[[#This Row],[DATA]],PROPER(TEXT(Tabela1[[#This Row],[DATA]],"mmm")),"")</f>
        <v>Set</v>
      </c>
      <c r="C134" s="67">
        <v>46283</v>
      </c>
      <c r="D134" s="67" t="str">
        <f t="shared" si="261"/>
        <v>Sexta</v>
      </c>
      <c r="E134" s="148">
        <v>0.68888888888888888</v>
      </c>
      <c r="F134" s="67" t="str">
        <f t="shared" si="188"/>
        <v>TARDE</v>
      </c>
      <c r="G134" s="67" t="s">
        <v>661</v>
      </c>
      <c r="H134" s="4" t="s">
        <v>490</v>
      </c>
      <c r="I134" s="4" t="s">
        <v>84</v>
      </c>
      <c r="J134" s="4" t="s">
        <v>593</v>
      </c>
      <c r="K134" s="4" t="s">
        <v>684</v>
      </c>
      <c r="L134" s="74" t="s">
        <v>662</v>
      </c>
      <c r="M134" s="4" t="s">
        <v>361</v>
      </c>
      <c r="N134" s="4" t="s">
        <v>675</v>
      </c>
      <c r="O134" s="4" t="s">
        <v>118</v>
      </c>
      <c r="P134" s="4" t="s">
        <v>309</v>
      </c>
      <c r="Q134" s="4" t="s">
        <v>5</v>
      </c>
      <c r="R134" s="4" t="s">
        <v>29</v>
      </c>
      <c r="S134" s="4" t="s">
        <v>161</v>
      </c>
      <c r="T134" s="67">
        <v>46283</v>
      </c>
      <c r="U134" s="67">
        <v>46283</v>
      </c>
      <c r="V134" s="4">
        <v>0</v>
      </c>
      <c r="W134" s="4" t="s">
        <v>560</v>
      </c>
      <c r="X134" s="67">
        <v>46284</v>
      </c>
      <c r="Y134" s="67">
        <v>46284</v>
      </c>
      <c r="Z134" s="4">
        <v>0</v>
      </c>
      <c r="AA134" s="4" t="s">
        <v>560</v>
      </c>
      <c r="AB134" s="67">
        <v>46284</v>
      </c>
      <c r="AC134" s="67">
        <v>46284</v>
      </c>
      <c r="AD134" s="4">
        <v>0</v>
      </c>
      <c r="AE134" s="4" t="s">
        <v>560</v>
      </c>
      <c r="AF134" s="67">
        <v>46291</v>
      </c>
      <c r="AG134" s="67"/>
      <c r="AH134" s="4">
        <v>-5</v>
      </c>
      <c r="AI134" s="4" t="s">
        <v>560</v>
      </c>
      <c r="AJ134" s="67">
        <v>46292</v>
      </c>
      <c r="AK134" s="67"/>
      <c r="AL134" s="4">
        <v>-6</v>
      </c>
      <c r="AM134" s="4" t="s">
        <v>560</v>
      </c>
      <c r="AN134" s="67">
        <v>46293</v>
      </c>
      <c r="AO134" s="67"/>
      <c r="AP134" s="4">
        <v>-7</v>
      </c>
      <c r="AQ134" s="4" t="s">
        <v>560</v>
      </c>
      <c r="AR134" s="67"/>
      <c r="AS134" s="67"/>
      <c r="AT134" s="67"/>
      <c r="AU134" s="60" t="s">
        <v>602</v>
      </c>
      <c r="AV134" s="4" t="s">
        <v>101</v>
      </c>
      <c r="AW134" s="4"/>
    </row>
    <row r="135" spans="2:49" ht="79.2" x14ac:dyDescent="0.3">
      <c r="B135" s="118" t="str">
        <f>IF(Tabela1[[#This Row],[DATA]],PROPER(TEXT(Tabela1[[#This Row],[DATA]],"mmm")),"")</f>
        <v>Set</v>
      </c>
      <c r="C135" s="67">
        <v>46284</v>
      </c>
      <c r="D135" s="67" t="str">
        <f t="shared" si="261"/>
        <v>Sábado</v>
      </c>
      <c r="E135" s="148">
        <v>0.5</v>
      </c>
      <c r="F135" s="67" t="str">
        <f t="shared" si="188"/>
        <v>MANHÃ</v>
      </c>
      <c r="G135" s="67" t="s">
        <v>663</v>
      </c>
      <c r="H135" s="4" t="s">
        <v>664</v>
      </c>
      <c r="I135" s="4" t="s">
        <v>24</v>
      </c>
      <c r="J135" s="4" t="s">
        <v>300</v>
      </c>
      <c r="K135" s="4" t="s">
        <v>701</v>
      </c>
      <c r="L135" s="74" t="s">
        <v>665</v>
      </c>
      <c r="M135" s="4" t="s">
        <v>638</v>
      </c>
      <c r="N135" s="4" t="s">
        <v>676</v>
      </c>
      <c r="O135" s="4" t="s">
        <v>303</v>
      </c>
      <c r="P135" s="4" t="s">
        <v>79</v>
      </c>
      <c r="Q135" s="4" t="s">
        <v>5</v>
      </c>
      <c r="R135" s="4" t="s">
        <v>29</v>
      </c>
      <c r="S135" s="4" t="s">
        <v>161</v>
      </c>
      <c r="T135" s="67">
        <v>46284</v>
      </c>
      <c r="U135" s="67">
        <v>46284</v>
      </c>
      <c r="V135" s="4">
        <v>0</v>
      </c>
      <c r="W135" s="4" t="s">
        <v>560</v>
      </c>
      <c r="X135" s="67">
        <v>46285</v>
      </c>
      <c r="Y135" s="67">
        <v>46285</v>
      </c>
      <c r="Z135" s="4">
        <v>0</v>
      </c>
      <c r="AA135" s="4" t="s">
        <v>560</v>
      </c>
      <c r="AB135" s="67">
        <v>46285</v>
      </c>
      <c r="AC135" s="67">
        <v>46285</v>
      </c>
      <c r="AD135" s="4">
        <v>0</v>
      </c>
      <c r="AE135" s="4" t="s">
        <v>560</v>
      </c>
      <c r="AF135" s="67">
        <v>46292</v>
      </c>
      <c r="AG135" s="67"/>
      <c r="AH135" s="4">
        <v>-6</v>
      </c>
      <c r="AI135" s="4" t="s">
        <v>560</v>
      </c>
      <c r="AJ135" s="67">
        <v>46293</v>
      </c>
      <c r="AK135" s="67"/>
      <c r="AL135" s="4">
        <v>-7</v>
      </c>
      <c r="AM135" s="4" t="s">
        <v>560</v>
      </c>
      <c r="AN135" s="67">
        <v>46294</v>
      </c>
      <c r="AO135" s="67"/>
      <c r="AP135" s="4">
        <v>-8</v>
      </c>
      <c r="AQ135" s="4" t="s">
        <v>560</v>
      </c>
      <c r="AR135" s="67"/>
      <c r="AS135" s="67"/>
      <c r="AT135" s="67"/>
      <c r="AU135" s="60" t="s">
        <v>251</v>
      </c>
      <c r="AV135" s="4" t="s">
        <v>101</v>
      </c>
      <c r="AW135" s="4"/>
    </row>
    <row r="136" spans="2:49" ht="39.6" x14ac:dyDescent="0.3">
      <c r="B136" s="118" t="str">
        <f>IF(Tabela1[[#This Row],[DATA]],PROPER(TEXT(Tabela1[[#This Row],[DATA]],"mmm")),"")</f>
        <v>Set</v>
      </c>
      <c r="C136" s="67">
        <v>46287</v>
      </c>
      <c r="D136" s="67" t="str">
        <f t="shared" si="261"/>
        <v>Terça</v>
      </c>
      <c r="E136" s="148">
        <v>0.5625</v>
      </c>
      <c r="F136" s="67" t="str">
        <f t="shared" si="188"/>
        <v>TARDE</v>
      </c>
      <c r="G136" s="67" t="s">
        <v>666</v>
      </c>
      <c r="H136" s="4" t="s">
        <v>614</v>
      </c>
      <c r="I136" s="4" t="s">
        <v>24</v>
      </c>
      <c r="J136" s="4" t="s">
        <v>300</v>
      </c>
      <c r="K136" s="4" t="s">
        <v>683</v>
      </c>
      <c r="L136" s="74" t="s">
        <v>667</v>
      </c>
      <c r="M136" s="4" t="s">
        <v>378</v>
      </c>
      <c r="N136" s="4" t="s">
        <v>675</v>
      </c>
      <c r="O136" s="4" t="s">
        <v>299</v>
      </c>
      <c r="P136" s="4" t="s">
        <v>104</v>
      </c>
      <c r="Q136" s="4" t="s">
        <v>5</v>
      </c>
      <c r="R136" s="4" t="s">
        <v>29</v>
      </c>
      <c r="S136" s="4" t="s">
        <v>161</v>
      </c>
      <c r="T136" s="67">
        <v>46287</v>
      </c>
      <c r="U136" s="67">
        <v>46287</v>
      </c>
      <c r="V136" s="4">
        <v>0</v>
      </c>
      <c r="W136" s="4" t="s">
        <v>560</v>
      </c>
      <c r="X136" s="67">
        <v>46288</v>
      </c>
      <c r="Y136" s="67">
        <v>46288</v>
      </c>
      <c r="Z136" s="4">
        <v>0</v>
      </c>
      <c r="AA136" s="4" t="s">
        <v>560</v>
      </c>
      <c r="AB136" s="67">
        <v>46288</v>
      </c>
      <c r="AC136" s="67">
        <v>46288</v>
      </c>
      <c r="AD136" s="4">
        <v>0</v>
      </c>
      <c r="AE136" s="4" t="s">
        <v>560</v>
      </c>
      <c r="AF136" s="67">
        <v>46295</v>
      </c>
      <c r="AG136" s="67"/>
      <c r="AH136" s="4">
        <v>-2</v>
      </c>
      <c r="AI136" s="4" t="s">
        <v>560</v>
      </c>
      <c r="AJ136" s="67">
        <v>46296</v>
      </c>
      <c r="AK136" s="67"/>
      <c r="AL136" s="4">
        <v>-3</v>
      </c>
      <c r="AM136" s="4" t="s">
        <v>560</v>
      </c>
      <c r="AN136" s="67">
        <v>46297</v>
      </c>
      <c r="AO136" s="67"/>
      <c r="AP136" s="4">
        <v>-4</v>
      </c>
      <c r="AQ136" s="4" t="s">
        <v>560</v>
      </c>
      <c r="AR136" s="67"/>
      <c r="AS136" s="67"/>
      <c r="AT136" s="67"/>
      <c r="AU136" s="60" t="s">
        <v>601</v>
      </c>
      <c r="AV136" s="4" t="s">
        <v>101</v>
      </c>
      <c r="AW136" s="4"/>
    </row>
    <row r="137" spans="2:49" ht="66" x14ac:dyDescent="0.3">
      <c r="B137" s="118" t="str">
        <f>IF(Tabela1[[#This Row],[DATA]],PROPER(TEXT(Tabela1[[#This Row],[DATA]],"mmm")),"")</f>
        <v>Set</v>
      </c>
      <c r="C137" s="80">
        <v>46288</v>
      </c>
      <c r="D137" s="80" t="str">
        <f t="shared" si="261"/>
        <v>Quarta</v>
      </c>
      <c r="E137" s="149">
        <v>0.73611111111111116</v>
      </c>
      <c r="F137" s="67" t="str">
        <f t="shared" si="188"/>
        <v>TARDE</v>
      </c>
      <c r="G137" s="80" t="s">
        <v>668</v>
      </c>
      <c r="H137" s="41" t="s">
        <v>481</v>
      </c>
      <c r="I137" s="41" t="s">
        <v>84</v>
      </c>
      <c r="J137" s="41" t="s">
        <v>212</v>
      </c>
      <c r="K137" s="41" t="s">
        <v>682</v>
      </c>
      <c r="L137" s="137" t="s">
        <v>669</v>
      </c>
      <c r="M137" s="41" t="s">
        <v>670</v>
      </c>
      <c r="N137" s="4" t="s">
        <v>675</v>
      </c>
      <c r="O137" s="41" t="s">
        <v>113</v>
      </c>
      <c r="P137" s="41" t="s">
        <v>671</v>
      </c>
      <c r="Q137" s="41" t="s">
        <v>5</v>
      </c>
      <c r="R137" s="41" t="s">
        <v>29</v>
      </c>
      <c r="S137" s="41" t="s">
        <v>161</v>
      </c>
      <c r="T137" s="80">
        <v>46288</v>
      </c>
      <c r="U137" s="80">
        <v>46288</v>
      </c>
      <c r="V137" s="41">
        <v>0</v>
      </c>
      <c r="W137" s="41" t="s">
        <v>560</v>
      </c>
      <c r="X137" s="80">
        <v>46289</v>
      </c>
      <c r="Y137" s="80">
        <v>46289</v>
      </c>
      <c r="Z137" s="41">
        <v>0</v>
      </c>
      <c r="AA137" s="41" t="s">
        <v>560</v>
      </c>
      <c r="AB137" s="80">
        <v>46289</v>
      </c>
      <c r="AC137" s="80">
        <v>46289</v>
      </c>
      <c r="AD137" s="41">
        <v>0</v>
      </c>
      <c r="AE137" s="41" t="s">
        <v>560</v>
      </c>
      <c r="AF137" s="80">
        <v>46296</v>
      </c>
      <c r="AG137" s="80"/>
      <c r="AH137" s="41">
        <v>-3</v>
      </c>
      <c r="AI137" s="41" t="s">
        <v>560</v>
      </c>
      <c r="AJ137" s="80">
        <v>46297</v>
      </c>
      <c r="AK137" s="80"/>
      <c r="AL137" s="41">
        <v>-4</v>
      </c>
      <c r="AM137" s="41" t="s">
        <v>560</v>
      </c>
      <c r="AN137" s="80">
        <v>46298</v>
      </c>
      <c r="AO137" s="80"/>
      <c r="AP137" s="41">
        <v>-5</v>
      </c>
      <c r="AQ137" s="41" t="s">
        <v>560</v>
      </c>
      <c r="AR137" s="80"/>
      <c r="AS137" s="80"/>
      <c r="AT137" s="80"/>
      <c r="AU137" s="52" t="s">
        <v>251</v>
      </c>
      <c r="AV137" s="41" t="s">
        <v>101</v>
      </c>
      <c r="AW137" s="41"/>
    </row>
    <row r="138" spans="2:49" ht="52.8" x14ac:dyDescent="0.3">
      <c r="B138" s="118" t="str">
        <f>IF(Tabela1[[#This Row],[DATA]],PROPER(TEXT(Tabela1[[#This Row],[DATA]],"mmm")),"")</f>
        <v>Out</v>
      </c>
      <c r="C138" s="157">
        <v>46301</v>
      </c>
      <c r="D138" s="80" t="str">
        <f t="shared" si="261"/>
        <v>Terça</v>
      </c>
      <c r="E138" s="149">
        <v>0.63888888888888884</v>
      </c>
      <c r="F138" s="67" t="str">
        <f t="shared" si="188"/>
        <v>TARDE</v>
      </c>
      <c r="G138" s="157" t="s">
        <v>719</v>
      </c>
      <c r="H138" s="158" t="s">
        <v>614</v>
      </c>
      <c r="I138" s="158" t="s">
        <v>24</v>
      </c>
      <c r="J138" s="158" t="s">
        <v>300</v>
      </c>
      <c r="K138" s="4" t="s">
        <v>685</v>
      </c>
      <c r="L138" s="159" t="s">
        <v>720</v>
      </c>
      <c r="M138" s="158" t="s">
        <v>378</v>
      </c>
      <c r="N138" s="158" t="s">
        <v>675</v>
      </c>
      <c r="O138" s="158" t="s">
        <v>299</v>
      </c>
      <c r="P138" s="158" t="s">
        <v>104</v>
      </c>
      <c r="Q138" s="158" t="s">
        <v>5</v>
      </c>
      <c r="R138" s="158" t="s">
        <v>29</v>
      </c>
      <c r="S138" s="158" t="s">
        <v>161</v>
      </c>
      <c r="T138" s="157">
        <v>46301</v>
      </c>
      <c r="U138" s="157">
        <v>46301</v>
      </c>
      <c r="V138" s="158">
        <v>0</v>
      </c>
      <c r="W138" s="158" t="s">
        <v>560</v>
      </c>
      <c r="X138" s="157">
        <v>46302</v>
      </c>
      <c r="Y138" s="157">
        <v>46302</v>
      </c>
      <c r="Z138" s="158">
        <v>0</v>
      </c>
      <c r="AA138" s="158" t="s">
        <v>560</v>
      </c>
      <c r="AB138" s="157">
        <v>46302</v>
      </c>
      <c r="AC138" s="157">
        <v>46302</v>
      </c>
      <c r="AD138" s="158">
        <v>0</v>
      </c>
      <c r="AE138" s="158" t="s">
        <v>560</v>
      </c>
      <c r="AF138" s="157">
        <v>46309</v>
      </c>
      <c r="AG138" s="157">
        <v>46309</v>
      </c>
      <c r="AH138" s="158">
        <v>0</v>
      </c>
      <c r="AI138" s="158" t="s">
        <v>560</v>
      </c>
      <c r="AJ138" s="157">
        <v>46310</v>
      </c>
      <c r="AK138" s="157"/>
      <c r="AL138" s="158">
        <v>-6</v>
      </c>
      <c r="AM138" s="158" t="s">
        <v>560</v>
      </c>
      <c r="AN138" s="157">
        <v>46311</v>
      </c>
      <c r="AO138" s="157"/>
      <c r="AP138" s="158">
        <v>-7</v>
      </c>
      <c r="AQ138" s="158" t="s">
        <v>560</v>
      </c>
      <c r="AR138" s="157"/>
      <c r="AS138" s="157"/>
      <c r="AT138" s="157"/>
      <c r="AU138" s="60" t="s">
        <v>601</v>
      </c>
      <c r="AV138" s="158" t="s">
        <v>101</v>
      </c>
      <c r="AW138" s="158" t="s">
        <v>87</v>
      </c>
    </row>
    <row r="139" spans="2:49" ht="26.4" x14ac:dyDescent="0.3">
      <c r="B139" s="118" t="str">
        <f>IF(Tabela1[[#This Row],[DATA]],PROPER(TEXT(Tabela1[[#This Row],[DATA]],"mmm")),"")</f>
        <v>Out</v>
      </c>
      <c r="C139" s="160">
        <v>46303</v>
      </c>
      <c r="D139" s="80" t="str">
        <f t="shared" si="261"/>
        <v>Quinta</v>
      </c>
      <c r="E139" s="149">
        <v>0.375</v>
      </c>
      <c r="F139" s="67" t="str">
        <f t="shared" ref="F139" si="301">IF(E139="", "", IF(E139&lt;TIME(6,0,0), "NOITE", IF(E139&lt;=TIME(12,0,0), "MANHÃ", IF(E139&lt;TIME(18,0,0), "TARDE", "NOITE"))))</f>
        <v>MANHÃ</v>
      </c>
      <c r="G139" s="160" t="s">
        <v>721</v>
      </c>
      <c r="H139" s="161" t="s">
        <v>617</v>
      </c>
      <c r="I139" s="161" t="s">
        <v>84</v>
      </c>
      <c r="J139" s="161" t="s">
        <v>450</v>
      </c>
      <c r="K139" s="41" t="s">
        <v>722</v>
      </c>
      <c r="L139" s="162" t="s">
        <v>723</v>
      </c>
      <c r="M139" s="161" t="s">
        <v>724</v>
      </c>
      <c r="N139" s="161" t="s">
        <v>675</v>
      </c>
      <c r="O139" s="161" t="s">
        <v>25</v>
      </c>
      <c r="P139" s="161" t="s">
        <v>26</v>
      </c>
      <c r="Q139" s="161" t="s">
        <v>5</v>
      </c>
      <c r="R139" s="161" t="s">
        <v>29</v>
      </c>
      <c r="S139" s="161" t="s">
        <v>161</v>
      </c>
      <c r="T139" s="160">
        <v>46303</v>
      </c>
      <c r="U139" s="160">
        <v>46303</v>
      </c>
      <c r="V139" s="161">
        <v>0</v>
      </c>
      <c r="W139" s="161" t="s">
        <v>560</v>
      </c>
      <c r="X139" s="160">
        <v>46304</v>
      </c>
      <c r="Y139" s="160">
        <v>46304</v>
      </c>
      <c r="Z139" s="161">
        <v>0</v>
      </c>
      <c r="AA139" s="161" t="s">
        <v>560</v>
      </c>
      <c r="AB139" s="160">
        <v>46304</v>
      </c>
      <c r="AC139" s="160">
        <v>46304</v>
      </c>
      <c r="AD139" s="161">
        <v>0</v>
      </c>
      <c r="AE139" s="161" t="s">
        <v>560</v>
      </c>
      <c r="AF139" s="160">
        <v>46311</v>
      </c>
      <c r="AG139" s="160"/>
      <c r="AH139" s="161">
        <v>-7</v>
      </c>
      <c r="AI139" s="161" t="s">
        <v>560</v>
      </c>
      <c r="AJ139" s="160">
        <v>46312</v>
      </c>
      <c r="AK139" s="160"/>
      <c r="AL139" s="161">
        <v>-8</v>
      </c>
      <c r="AM139" s="161" t="s">
        <v>560</v>
      </c>
      <c r="AN139" s="160">
        <v>46313</v>
      </c>
      <c r="AO139" s="160"/>
      <c r="AP139" s="161">
        <v>-9</v>
      </c>
      <c r="AQ139" s="161" t="s">
        <v>560</v>
      </c>
      <c r="AR139" s="160"/>
      <c r="AS139" s="160"/>
      <c r="AT139" s="160"/>
      <c r="AU139" s="52" t="s">
        <v>601</v>
      </c>
      <c r="AV139" s="161" t="s">
        <v>101</v>
      </c>
      <c r="AW139" s="161" t="s">
        <v>87</v>
      </c>
    </row>
    <row r="140" spans="2:49" ht="39.6" x14ac:dyDescent="0.3">
      <c r="B140" s="195" t="str">
        <f>IF(Tabela1[[#This Row],[DATA]],PROPER(TEXT(Tabela1[[#This Row],[DATA]],"mmm")),"")</f>
        <v>Out</v>
      </c>
      <c r="C140" s="196">
        <v>46315</v>
      </c>
      <c r="D140" s="67" t="str">
        <f>CHOOSE(WEEKDAY(C140, 2), "Segunda", "Terça", "Quarta", "Quinta", "Sexta", "Sábado", "Domingo")</f>
        <v>Terça</v>
      </c>
      <c r="E140" s="67">
        <v>0.41666666666666669</v>
      </c>
      <c r="F140" s="67" t="str">
        <f>IF(E140="", "", IF(E140&lt;TIME(6,0,0), "NOITE", IF(E140&lt;=TIME(12,0,0), "MANHÃ", IF(E140&lt;TIME(18,0,0), "TARDE", "NOITE"))))</f>
        <v>MANHÃ</v>
      </c>
      <c r="G140" s="196" t="s">
        <v>725</v>
      </c>
      <c r="H140" s="197" t="s">
        <v>726</v>
      </c>
      <c r="I140" s="197" t="s">
        <v>24</v>
      </c>
      <c r="J140" s="197" t="s">
        <v>300</v>
      </c>
      <c r="K140" s="4" t="s">
        <v>727</v>
      </c>
      <c r="L140" s="198" t="s">
        <v>728</v>
      </c>
      <c r="M140" s="197" t="s">
        <v>378</v>
      </c>
      <c r="N140" s="197" t="s">
        <v>676</v>
      </c>
      <c r="O140" s="197" t="s">
        <v>299</v>
      </c>
      <c r="P140" s="197" t="s">
        <v>104</v>
      </c>
      <c r="Q140" s="197" t="s">
        <v>5</v>
      </c>
      <c r="R140" s="197" t="s">
        <v>29</v>
      </c>
      <c r="S140" s="197" t="s">
        <v>161</v>
      </c>
      <c r="T140" s="196">
        <f t="shared" ref="T140:U141" si="302">IF($C140="","",$C140)</f>
        <v>46315</v>
      </c>
      <c r="U140" s="196">
        <f t="shared" si="302"/>
        <v>46315</v>
      </c>
      <c r="V140" s="197">
        <f ca="1">IF($C140="","",IF(U140="",TODAY()-T140,U140-T140))</f>
        <v>0</v>
      </c>
      <c r="W140" s="197" t="str">
        <f ca="1">IF($C140="","",IF(AND($C140&lt;&gt;"",U140=""),IF(T140=TODAY(),"VENCE HOJE",IF(T140&lt;TODAY(),"ATRASADO","NO PRAZO")),IF(U140&lt;=T140,"NO PRAZO","ATRASADO")))</f>
        <v>NO PRAZO</v>
      </c>
      <c r="X140" s="196">
        <f t="shared" ref="X140:Y141" si="303">IF($C140="","",$C140+1)</f>
        <v>46316</v>
      </c>
      <c r="Y140" s="196">
        <f t="shared" si="303"/>
        <v>46316</v>
      </c>
      <c r="Z140" s="197">
        <f ca="1">IF($C140="","",IF(Y140="",TODAY()-X140,Y140-X140))</f>
        <v>0</v>
      </c>
      <c r="AA140" s="197" t="str">
        <f ca="1">IF($C140="","",IF(AND($C140&lt;&gt;"",Y140=""),IF(X140=TODAY(),"VENCE HOJE",IF(X140&lt;TODAY(),"ATRASADO","NO PRAZO")),IF(Y140&lt;=X140,"NO PRAZO","ATRASADO")))</f>
        <v>NO PRAZO</v>
      </c>
      <c r="AB140" s="196">
        <f t="shared" ref="AB140:AC141" si="304">IF($C140="","",$C140+1)</f>
        <v>46316</v>
      </c>
      <c r="AC140" s="196">
        <f t="shared" si="304"/>
        <v>46316</v>
      </c>
      <c r="AD140" s="197">
        <f ca="1">IF($C140="","",IF(AC140="",TODAY()-AB140,AC140-AB140))</f>
        <v>0</v>
      </c>
      <c r="AE140" s="197" t="str">
        <f ca="1">IF($C140="","",IF(AND($C140&lt;&gt;"",AC140=""),IF(AB140=TODAY(),"VENCE HOJE",IF(AB140&lt;TODAY(),"ATRASADO","NO PRAZO")),IF(AC140&lt;=AB140,"NO PRAZO","ATRASADO")))</f>
        <v>NO PRAZO</v>
      </c>
      <c r="AF140" s="196">
        <f t="shared" ref="AF140:AG141" si="305">IF($C140="","",$C140+8)</f>
        <v>46323</v>
      </c>
      <c r="AG140" s="196">
        <f t="shared" si="305"/>
        <v>46323</v>
      </c>
      <c r="AH140" s="197">
        <f ca="1">IF($C140="","",IF(AG140="",TODAY()-AF140,AG140-AF140))</f>
        <v>0</v>
      </c>
      <c r="AI140" s="197" t="str">
        <f ca="1">IF($C140="","",IF(AND($C140&lt;&gt;"",AG140=""),IF(AF140=TODAY(),"VENCE HOJE",IF(AF140&lt;TODAY(),"ATRASADO","NO PRAZO")),IF(AG140&lt;=AF140,"NO PRAZO","ATRASADO")))</f>
        <v>NO PRAZO</v>
      </c>
      <c r="AJ140" s="196">
        <f>IF($C140="","",$C140+9)</f>
        <v>46324</v>
      </c>
      <c r="AK140" s="196"/>
      <c r="AL140" s="197">
        <f ca="1">IF($C140="","",IF(AK140="",TODAY()-AJ140,AK140-AJ140))</f>
        <v>-3</v>
      </c>
      <c r="AM140" s="197" t="str">
        <f ca="1">IF($C140="","",IF(AND($C140&lt;&gt;"",AK140=""),IF(AJ140=TODAY(),"VENCE HOJE",IF(AJ140&lt;TODAY(),"ATRASADO","NO PRAZO")),IF(AK140&lt;=AJ140,"NO PRAZO","ATRASADO")))</f>
        <v>NO PRAZO</v>
      </c>
      <c r="AN140" s="196">
        <f>IF($C140="","",$C140+10)</f>
        <v>46325</v>
      </c>
      <c r="AO140" s="196"/>
      <c r="AP140" s="197">
        <f ca="1">IF($C140="","",IF(AO140="",TODAY()-AN140,AO140-AN140))</f>
        <v>-4</v>
      </c>
      <c r="AQ140" s="197" t="str">
        <f ca="1">IF($C140="","",IF(AND($C140&lt;&gt;"",AO140=""),IF(AN140=TODAY(),"VENCE HOJE",IF(AN140&lt;TODAY(),"ATRASADO","NO PRAZO")),IF(AO140&lt;=AN140,"NO PRAZO","ATRASADO")))</f>
        <v>NO PRAZO</v>
      </c>
      <c r="AR140" s="196"/>
      <c r="AS140" s="196"/>
      <c r="AT140" s="196"/>
      <c r="AU140" s="60" t="s">
        <v>601</v>
      </c>
      <c r="AV140" s="197" t="s">
        <v>101</v>
      </c>
      <c r="AW140" s="197" t="s">
        <v>87</v>
      </c>
    </row>
    <row r="141" spans="2:49" ht="52.8" x14ac:dyDescent="0.3">
      <c r="B141" s="199" t="str">
        <f>IF(Tabela1[[#This Row],[DATA]],PROPER(TEXT(Tabela1[[#This Row],[DATA]],"mmm")),"")</f>
        <v>Out</v>
      </c>
      <c r="C141" s="200">
        <v>46316</v>
      </c>
      <c r="D141" s="80" t="str">
        <f>CHOOSE(WEEKDAY(C141, 2), "Segunda", "Terça", "Quarta", "Quinta", "Sexta", "Sábado", "Domingo")</f>
        <v>Quarta</v>
      </c>
      <c r="E141" s="80">
        <v>0.77708333333333335</v>
      </c>
      <c r="F141" s="80" t="str">
        <f>IF(E141="", "", IF(E141&lt;TIME(6,0,0), "NOITE", IF(E141&lt;=TIME(12,0,0), "MANHÃ", IF(E141&lt;TIME(18,0,0), "TARDE", "NOITE"))))</f>
        <v>NOITE</v>
      </c>
      <c r="G141" s="200" t="s">
        <v>729</v>
      </c>
      <c r="H141" s="201" t="s">
        <v>730</v>
      </c>
      <c r="I141" s="201" t="s">
        <v>24</v>
      </c>
      <c r="J141" s="201" t="s">
        <v>300</v>
      </c>
      <c r="K141" s="41" t="s">
        <v>731</v>
      </c>
      <c r="L141" s="202" t="s">
        <v>732</v>
      </c>
      <c r="M141" s="201" t="s">
        <v>378</v>
      </c>
      <c r="N141" s="201" t="s">
        <v>675</v>
      </c>
      <c r="O141" s="201" t="s">
        <v>733</v>
      </c>
      <c r="P141" s="201" t="s">
        <v>104</v>
      </c>
      <c r="Q141" s="201" t="s">
        <v>5</v>
      </c>
      <c r="R141" s="201" t="s">
        <v>29</v>
      </c>
      <c r="S141" s="201" t="s">
        <v>161</v>
      </c>
      <c r="T141" s="200">
        <f t="shared" si="302"/>
        <v>46316</v>
      </c>
      <c r="U141" s="200">
        <f t="shared" si="302"/>
        <v>46316</v>
      </c>
      <c r="V141" s="201">
        <f ca="1">IF($C141="","",IF(U141="",TODAY()-T141,U141-T141))</f>
        <v>0</v>
      </c>
      <c r="W141" s="201" t="str">
        <f ca="1">IF($C141="","",IF(AND($C141&lt;&gt;"",U141=""),IF(T141=TODAY(),"VENCE HOJE",IF(T141&lt;TODAY(),"ATRASADO","NO PRAZO")),IF(U141&lt;=T141,"NO PRAZO","ATRASADO")))</f>
        <v>NO PRAZO</v>
      </c>
      <c r="X141" s="200">
        <f t="shared" si="303"/>
        <v>46317</v>
      </c>
      <c r="Y141" s="200">
        <f t="shared" si="303"/>
        <v>46317</v>
      </c>
      <c r="Z141" s="201">
        <f ca="1">IF($C141="","",IF(Y141="",TODAY()-X141,Y141-X141))</f>
        <v>0</v>
      </c>
      <c r="AA141" s="201" t="str">
        <f ca="1">IF($C141="","",IF(AND($C141&lt;&gt;"",Y141=""),IF(X141=TODAY(),"VENCE HOJE",IF(X141&lt;TODAY(),"ATRASADO","NO PRAZO")),IF(Y141&lt;=X141,"NO PRAZO","ATRASADO")))</f>
        <v>NO PRAZO</v>
      </c>
      <c r="AB141" s="200">
        <f t="shared" si="304"/>
        <v>46317</v>
      </c>
      <c r="AC141" s="200">
        <f t="shared" si="304"/>
        <v>46317</v>
      </c>
      <c r="AD141" s="201">
        <f ca="1">IF($C141="","",IF(AC141="",TODAY()-AB141,AC141-AB141))</f>
        <v>0</v>
      </c>
      <c r="AE141" s="201" t="str">
        <f ca="1">IF($C141="","",IF(AND($C141&lt;&gt;"",AC141=""),IF(AB141=TODAY(),"VENCE HOJE",IF(AB141&lt;TODAY(),"ATRASADO","NO PRAZO")),IF(AC141&lt;=AB141,"NO PRAZO","ATRASADO")))</f>
        <v>NO PRAZO</v>
      </c>
      <c r="AF141" s="200">
        <f t="shared" si="305"/>
        <v>46324</v>
      </c>
      <c r="AG141" s="200">
        <f t="shared" si="305"/>
        <v>46324</v>
      </c>
      <c r="AH141" s="201">
        <f ca="1">IF($C141="","",IF(AG141="",TODAY()-AF141,AG141-AF141))</f>
        <v>0</v>
      </c>
      <c r="AI141" s="201" t="str">
        <f ca="1">IF($C141="","",IF(AND($C141&lt;&gt;"",AG141=""),IF(AF141=TODAY(),"VENCE HOJE",IF(AF141&lt;TODAY(),"ATRASADO","NO PRAZO")),IF(AG141&lt;=AF141,"NO PRAZO","ATRASADO")))</f>
        <v>NO PRAZO</v>
      </c>
      <c r="AJ141" s="200">
        <f>IF($C141="","",$C141+9)</f>
        <v>46325</v>
      </c>
      <c r="AK141" s="200"/>
      <c r="AL141" s="201">
        <f ca="1">IF($C141="","",IF(AK141="",TODAY()-AJ141,AK141-AJ141))</f>
        <v>-4</v>
      </c>
      <c r="AM141" s="201" t="str">
        <f ca="1">IF($C141="","",IF(AND($C141&lt;&gt;"",AK141=""),IF(AJ141=TODAY(),"VENCE HOJE",IF(AJ141&lt;TODAY(),"ATRASADO","NO PRAZO")),IF(AK141&lt;=AJ141,"NO PRAZO","ATRASADO")))</f>
        <v>NO PRAZO</v>
      </c>
      <c r="AN141" s="200">
        <f>IF($C141="","",$C141+10)</f>
        <v>46326</v>
      </c>
      <c r="AO141" s="200"/>
      <c r="AP141" s="201">
        <f ca="1">IF($C141="","",IF(AO141="",TODAY()-AN141,AO141-AN141))</f>
        <v>-5</v>
      </c>
      <c r="AQ141" s="201" t="str">
        <f ca="1">IF($C141="","",IF(AND($C141&lt;&gt;"",AO141=""),IF(AN141=TODAY(),"VENCE HOJE",IF(AN141&lt;TODAY(),"ATRASADO","NO PRAZO")),IF(AO141&lt;=AN141,"NO PRAZO","ATRASADO")))</f>
        <v>NO PRAZO</v>
      </c>
      <c r="AR141" s="200"/>
      <c r="AS141" s="200"/>
      <c r="AT141" s="200"/>
      <c r="AU141" s="52" t="s">
        <v>601</v>
      </c>
      <c r="AV141" s="201" t="s">
        <v>101</v>
      </c>
      <c r="AW141" s="201" t="s">
        <v>87</v>
      </c>
    </row>
  </sheetData>
  <mergeCells count="14">
    <mergeCell ref="N6:Q6"/>
    <mergeCell ref="N7:Q7"/>
    <mergeCell ref="J2:M2"/>
    <mergeCell ref="N5:Q5"/>
    <mergeCell ref="N3:Q3"/>
    <mergeCell ref="N2:Q2"/>
    <mergeCell ref="N4:Q4"/>
    <mergeCell ref="C3:H7"/>
    <mergeCell ref="C2:H2"/>
    <mergeCell ref="J3:M3"/>
    <mergeCell ref="J4:M4"/>
    <mergeCell ref="J5:M5"/>
    <mergeCell ref="I6:M6"/>
    <mergeCell ref="I7:M7"/>
  </mergeCells>
  <phoneticPr fontId="14" type="noConversion"/>
  <conditionalFormatting sqref="P10:P141">
    <cfRule type="containsText" dxfId="74" priority="65" operator="containsText" text="PDS">
      <formula>NOT(ISERROR(SEARCH("PDS",P10)))</formula>
    </cfRule>
    <cfRule type="containsText" dxfId="73" priority="66" operator="containsText" text="BCB">
      <formula>NOT(ISERROR(SEARCH("BCB",P10)))</formula>
    </cfRule>
    <cfRule type="containsText" dxfId="72" priority="67" operator="containsText" text="ITM">
      <formula>NOT(ISERROR(SEARCH("ITM",P10)))</formula>
    </cfRule>
    <cfRule type="containsText" dxfId="71" priority="68" operator="containsText" text="PDT">
      <formula>NOT(ISERROR(SEARCH("PDT",P10)))</formula>
    </cfRule>
    <cfRule type="containsText" dxfId="70" priority="69" operator="containsText" text="STI">
      <formula>NOT(ISERROR(SEARCH("STI",P10)))</formula>
    </cfRule>
  </conditionalFormatting>
  <conditionalFormatting sqref="P113:P114">
    <cfRule type="containsText" dxfId="69" priority="45" operator="containsText" text="PDS">
      <formula>NOT(ISERROR(SEARCH("PDS",P113)))</formula>
    </cfRule>
    <cfRule type="containsText" dxfId="68" priority="46" operator="containsText" text="BCB">
      <formula>NOT(ISERROR(SEARCH("BCB",P113)))</formula>
    </cfRule>
    <cfRule type="containsText" dxfId="67" priority="47" operator="containsText" text="ITM">
      <formula>NOT(ISERROR(SEARCH("ITM",P113)))</formula>
    </cfRule>
    <cfRule type="containsText" dxfId="66" priority="48" operator="containsText" text="PDT">
      <formula>NOT(ISERROR(SEARCH("PDT",P113)))</formula>
    </cfRule>
    <cfRule type="containsText" dxfId="65" priority="49" operator="containsText" text="STI">
      <formula>NOT(ISERROR(SEARCH("STI",P113)))</formula>
    </cfRule>
  </conditionalFormatting>
  <conditionalFormatting sqref="P116:P123">
    <cfRule type="containsText" dxfId="64" priority="12" operator="containsText" text="PDS">
      <formula>NOT(ISERROR(SEARCH("PDS",P116)))</formula>
    </cfRule>
    <cfRule type="containsText" dxfId="63" priority="13" operator="containsText" text="BCB">
      <formula>NOT(ISERROR(SEARCH("BCB",P116)))</formula>
    </cfRule>
    <cfRule type="containsText" dxfId="62" priority="14" operator="containsText" text="ITM">
      <formula>NOT(ISERROR(SEARCH("ITM",P116)))</formula>
    </cfRule>
    <cfRule type="containsText" dxfId="61" priority="15" operator="containsText" text="PDT">
      <formula>NOT(ISERROR(SEARCH("PDT",P116)))</formula>
    </cfRule>
    <cfRule type="containsText" dxfId="60" priority="16" operator="containsText" text="STI">
      <formula>NOT(ISERROR(SEARCH("STI",P116)))</formula>
    </cfRule>
  </conditionalFormatting>
  <conditionalFormatting sqref="W1 V2:V7 W8:W82 W129:W139 W142:W1048576">
    <cfRule type="cellIs" dxfId="59" priority="73" operator="equal">
      <formula>"VENCE HOJE"</formula>
    </cfRule>
    <cfRule type="cellIs" dxfId="58" priority="74" operator="equal">
      <formula>"NO PRAZO"</formula>
    </cfRule>
    <cfRule type="cellIs" dxfId="57" priority="75" operator="equal">
      <formula>"ATRASADO"</formula>
    </cfRule>
  </conditionalFormatting>
  <conditionalFormatting sqref="W83:W128">
    <cfRule type="cellIs" dxfId="56" priority="20" operator="equal">
      <formula>"VENCE HOJE"</formula>
    </cfRule>
    <cfRule type="cellIs" dxfId="55" priority="21" operator="equal">
      <formula>"NO PRAZO"</formula>
    </cfRule>
    <cfRule type="cellIs" dxfId="54" priority="22" operator="equal">
      <formula>"ATRASADO"</formula>
    </cfRule>
  </conditionalFormatting>
  <conditionalFormatting sqref="AA1 AE1 AI1 AM1 AQ1 Z2:Z7 AD2:AD7 AH2:AH7 AL2:AL7 AP2:AP7 AA8:AA82 AE8:AE82 AI8:AI82 AM8:AM82 AQ8:AQ82 AA129:AA139 AE129:AE139 AI129:AI139 AM129:AM139 AQ129:AQ139 AQ142:AQ1048576 AM142:AM1048576 AI142:AI1048576 AE142:AE1048576 AA142:AA1048576">
    <cfRule type="cellIs" dxfId="53" priority="70" operator="equal">
      <formula>"NO PRAZO"</formula>
    </cfRule>
    <cfRule type="cellIs" dxfId="52" priority="71" operator="equal">
      <formula>"VENCE HOJE"</formula>
    </cfRule>
    <cfRule type="cellIs" dxfId="51" priority="72" operator="equal">
      <formula>"ATRASADO"</formula>
    </cfRule>
  </conditionalFormatting>
  <conditionalFormatting sqref="AA83:AA128 AE83:AE128 AI83:AI128 AM83:AM128 AQ83:AQ128">
    <cfRule type="cellIs" dxfId="50" priority="17" operator="equal">
      <formula>"NO PRAZO"</formula>
    </cfRule>
    <cfRule type="cellIs" dxfId="49" priority="18" operator="equal">
      <formula>"VENCE HOJE"</formula>
    </cfRule>
    <cfRule type="cellIs" dxfId="48" priority="19" operator="equal">
      <formula>"ATRASADO"</formula>
    </cfRule>
  </conditionalFormatting>
  <conditionalFormatting sqref="P140:P141">
    <cfRule type="containsText" dxfId="15" priority="1" operator="containsText" text="PDS">
      <formula>NOT(ISERROR(SEARCH("PDS",P140)))</formula>
    </cfRule>
    <cfRule type="containsText" dxfId="14" priority="2" operator="containsText" text="BCB">
      <formula>NOT(ISERROR(SEARCH("BCB",P140)))</formula>
    </cfRule>
    <cfRule type="containsText" dxfId="13" priority="3" operator="containsText" text="ITM">
      <formula>NOT(ISERROR(SEARCH("ITM",P140)))</formula>
    </cfRule>
    <cfRule type="containsText" dxfId="12" priority="4" operator="containsText" text="PDT">
      <formula>NOT(ISERROR(SEARCH("PDT",P140)))</formula>
    </cfRule>
    <cfRule type="containsText" dxfId="11" priority="5" operator="containsText" text="STI">
      <formula>NOT(ISERROR(SEARCH("STI",P140)))</formula>
    </cfRule>
  </conditionalFormatting>
  <conditionalFormatting sqref="W140:W141">
    <cfRule type="cellIs" dxfId="10" priority="9" operator="equal">
      <formula>"VENCE HOJE"</formula>
    </cfRule>
    <cfRule type="cellIs" dxfId="9" priority="10" operator="equal">
      <formula>"NO PRAZO"</formula>
    </cfRule>
    <cfRule type="cellIs" dxfId="8" priority="11" operator="equal">
      <formula>"ATRASADO"</formula>
    </cfRule>
  </conditionalFormatting>
  <conditionalFormatting sqref="AA140:AA141 AE140:AE141 AI140:AI141 AM140:AM141 AQ140:AQ141">
    <cfRule type="cellIs" dxfId="7" priority="6" operator="equal">
      <formula>"NO PRAZO"</formula>
    </cfRule>
    <cfRule type="cellIs" dxfId="6" priority="7" operator="equal">
      <formula>"VENCE HOJE"</formula>
    </cfRule>
    <cfRule type="cellIs" dxfId="5" priority="8" operator="equal">
      <formula>"ATRASADO"</formula>
    </cfRule>
  </conditionalFormatting>
  <dataValidations disablePrompts="1" count="3">
    <dataValidation type="list" allowBlank="1" showInputMessage="1" showErrorMessage="1" sqref="AW10:AW25" xr:uid="{4C126F27-EFC0-4FC9-ADFE-82AC901BC85D}">
      <formula1>#REF!</formula1>
    </dataValidation>
    <dataValidation type="list" allowBlank="1" showInputMessage="1" showErrorMessage="1" sqref="Q10:Q141" xr:uid="{00000000-0002-0000-0100-000001000000}">
      <formula1>"LEVE,GRAVE, FATAL"</formula1>
    </dataValidation>
    <dataValidation type="list" allowBlank="1" showInputMessage="1" showErrorMessage="1" sqref="R10:R141" xr:uid="{B840DEC9-A17B-4D5C-B939-60B1D8836B45}">
      <formula1>"SEM AFASTAMENTO,COM AFASTAMENTO,FATAL,INCIDENTE"</formula1>
    </dataValidation>
  </dataValidations>
  <pageMargins left="0.511811024" right="0.511811024" top="0.78740157499999996" bottom="0.78740157499999996" header="0.31496062000000002" footer="0.31496062000000002"/>
  <pageSetup paperSize="9" scale="11" orientation="portrait" r:id="rId1"/>
  <drawing r:id="rId2"/>
  <tableParts count="1">
    <tablePart r:id="rId3"/>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EEE16C12-2809-4C66-A1EE-611E44527A88}">
          <x14:formula1>
            <xm:f>Validação!$C$2:$C$21</xm:f>
          </x14:formula1>
          <xm:sqref>J27:K28 J30:K30 J32:K34 J18:K25 J10:K16</xm:sqref>
        </x14:dataValidation>
        <x14:dataValidation type="list" allowBlank="1" showInputMessage="1" showErrorMessage="1" xr:uid="{9D6680C8-4833-4379-B245-C27E61B91DBE}">
          <x14:formula1>
            <xm:f>Validação!$C$2:$C$22</xm:f>
          </x14:formula1>
          <xm:sqref>J17:K17 J29:K29 J31:K31 J38:K38 J26:K26</xm:sqref>
        </x14:dataValidation>
        <x14:dataValidation type="list" allowBlank="1" showInputMessage="1" showErrorMessage="1" xr:uid="{CB325905-3E19-4370-8010-F31789A8E403}">
          <x14:formula1>
            <xm:f>Validação!$A$2:$A$6</xm:f>
          </x14:formula1>
          <xm:sqref>AU10:AU141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0044B-C0FB-4A85-BED7-573EDB555CF4}">
  <dimension ref="B1:H61"/>
  <sheetViews>
    <sheetView showGridLines="0" workbookViewId="0">
      <pane ySplit="1" topLeftCell="A50" activePane="bottomLeft" state="frozen"/>
      <selection pane="bottomLeft" activeCell="D57" sqref="D57"/>
    </sheetView>
  </sheetViews>
  <sheetFormatPr defaultRowHeight="14.4" x14ac:dyDescent="0.3"/>
  <cols>
    <col min="2" max="2" width="10.5546875" style="1" bestFit="1" customWidth="1"/>
    <col min="3" max="3" width="8.88671875" style="1"/>
    <col min="4" max="4" width="8.44140625" style="1" bestFit="1" customWidth="1"/>
    <col min="5" max="5" width="10" style="1" customWidth="1"/>
    <col min="6" max="6" width="8.88671875" style="1"/>
    <col min="7" max="7" width="9.6640625" style="1" bestFit="1" customWidth="1"/>
    <col min="8" max="8" width="9.6640625" style="1" customWidth="1"/>
  </cols>
  <sheetData>
    <row r="1" spans="2:8" x14ac:dyDescent="0.3">
      <c r="B1" s="1" t="s">
        <v>543</v>
      </c>
      <c r="C1" s="1" t="s">
        <v>540</v>
      </c>
      <c r="D1" s="1" t="s">
        <v>541</v>
      </c>
      <c r="E1" s="1" t="s">
        <v>544</v>
      </c>
      <c r="F1" s="1" t="s">
        <v>542</v>
      </c>
      <c r="G1" s="1" t="s">
        <v>552</v>
      </c>
      <c r="H1" s="1" t="s">
        <v>545</v>
      </c>
    </row>
    <row r="2" spans="2:8" x14ac:dyDescent="0.3">
      <c r="B2" s="98">
        <v>44562</v>
      </c>
      <c r="C2" s="1" t="str">
        <f t="shared" ref="C2:C33" si="0">TEXT(B2,"aaaa")</f>
        <v>2022</v>
      </c>
      <c r="D2" s="97">
        <v>363.32112802847013</v>
      </c>
      <c r="E2" s="1">
        <v>39</v>
      </c>
      <c r="F2" s="108">
        <v>0</v>
      </c>
      <c r="G2" s="99">
        <v>34.27557811589341</v>
      </c>
      <c r="H2" s="1">
        <v>4.17</v>
      </c>
    </row>
    <row r="3" spans="2:8" x14ac:dyDescent="0.3">
      <c r="B3" s="98">
        <v>44593</v>
      </c>
      <c r="C3" s="1" t="str">
        <f t="shared" si="0"/>
        <v>2022</v>
      </c>
      <c r="D3" s="97">
        <v>410.7028337058066</v>
      </c>
      <c r="E3" s="1">
        <v>39</v>
      </c>
      <c r="F3" s="108">
        <v>0</v>
      </c>
      <c r="G3" s="99">
        <v>0</v>
      </c>
      <c r="H3" s="1">
        <v>4.17</v>
      </c>
    </row>
    <row r="4" spans="2:8" x14ac:dyDescent="0.3">
      <c r="B4" s="98">
        <v>44621</v>
      </c>
      <c r="C4" s="1" t="str">
        <f t="shared" si="0"/>
        <v>2022</v>
      </c>
      <c r="D4" s="97">
        <v>395.42350021632956</v>
      </c>
      <c r="E4" s="1">
        <v>39</v>
      </c>
      <c r="F4" s="108">
        <v>0</v>
      </c>
      <c r="G4" s="99">
        <v>0</v>
      </c>
      <c r="H4" s="1">
        <v>4.17</v>
      </c>
    </row>
    <row r="5" spans="2:8" x14ac:dyDescent="0.3">
      <c r="B5" s="98">
        <v>44652</v>
      </c>
      <c r="C5" s="1" t="str">
        <f t="shared" si="0"/>
        <v>2022</v>
      </c>
      <c r="D5" s="97">
        <v>196.50640434022387</v>
      </c>
      <c r="E5" s="1">
        <v>39</v>
      </c>
      <c r="F5" s="108">
        <v>0</v>
      </c>
      <c r="G5" s="99">
        <v>6.5502134780074615</v>
      </c>
      <c r="H5" s="1">
        <v>4.17</v>
      </c>
    </row>
    <row r="6" spans="2:8" x14ac:dyDescent="0.3">
      <c r="B6" s="98">
        <v>44682</v>
      </c>
      <c r="C6" s="1" t="str">
        <f t="shared" si="0"/>
        <v>2022</v>
      </c>
      <c r="D6" s="97">
        <v>193.3837364406576</v>
      </c>
      <c r="E6" s="1">
        <v>39</v>
      </c>
      <c r="F6" s="108">
        <v>0</v>
      </c>
      <c r="G6" s="99">
        <v>12.892249096043839</v>
      </c>
      <c r="H6" s="1">
        <v>4.17</v>
      </c>
    </row>
    <row r="7" spans="2:8" x14ac:dyDescent="0.3">
      <c r="B7" s="98">
        <v>44713</v>
      </c>
      <c r="C7" s="1" t="str">
        <f t="shared" si="0"/>
        <v>2022</v>
      </c>
      <c r="D7" s="97">
        <v>41614.242235030979</v>
      </c>
      <c r="E7" s="1">
        <v>39</v>
      </c>
      <c r="F7" s="108">
        <v>6.1377938399750711</v>
      </c>
      <c r="G7" s="99">
        <v>0</v>
      </c>
      <c r="H7" s="1">
        <v>4.17</v>
      </c>
    </row>
    <row r="8" spans="2:8" x14ac:dyDescent="0.3">
      <c r="B8" s="98">
        <v>44743</v>
      </c>
      <c r="C8" s="1" t="str">
        <f t="shared" si="0"/>
        <v>2022</v>
      </c>
      <c r="D8" s="97">
        <v>176.80199838120092</v>
      </c>
      <c r="E8" s="1">
        <v>39</v>
      </c>
      <c r="F8" s="108">
        <v>0</v>
      </c>
      <c r="G8" s="99">
        <v>0</v>
      </c>
      <c r="H8" s="1">
        <v>4.17</v>
      </c>
    </row>
    <row r="9" spans="2:8" x14ac:dyDescent="0.3">
      <c r="B9" s="98">
        <v>44774</v>
      </c>
      <c r="C9" s="1" t="str">
        <f t="shared" si="0"/>
        <v>2022</v>
      </c>
      <c r="D9" s="97">
        <v>165.20315031394105</v>
      </c>
      <c r="E9" s="1">
        <v>39</v>
      </c>
      <c r="F9" s="108">
        <v>11.013543354262737</v>
      </c>
      <c r="G9" s="99">
        <v>0</v>
      </c>
      <c r="H9" s="1">
        <v>4.17</v>
      </c>
    </row>
    <row r="10" spans="2:8" x14ac:dyDescent="0.3">
      <c r="B10" s="98">
        <v>44805</v>
      </c>
      <c r="C10" s="1" t="str">
        <f t="shared" si="0"/>
        <v>2022</v>
      </c>
      <c r="D10" s="97">
        <v>181.2850240606428</v>
      </c>
      <c r="E10" s="1">
        <v>39</v>
      </c>
      <c r="F10" s="108">
        <v>0</v>
      </c>
      <c r="G10" s="99">
        <v>5.4934855775952363</v>
      </c>
      <c r="H10" s="1">
        <v>4.17</v>
      </c>
    </row>
    <row r="11" spans="2:8" x14ac:dyDescent="0.3">
      <c r="B11" s="98">
        <v>44835</v>
      </c>
      <c r="C11" s="1" t="str">
        <f t="shared" si="0"/>
        <v>2022</v>
      </c>
      <c r="D11" s="97">
        <v>161.4791229293734</v>
      </c>
      <c r="E11" s="1">
        <v>39</v>
      </c>
      <c r="F11" s="108">
        <v>10.765274861958225</v>
      </c>
      <c r="G11" s="99">
        <v>0</v>
      </c>
      <c r="H11" s="1">
        <v>4.17</v>
      </c>
    </row>
    <row r="12" spans="2:8" x14ac:dyDescent="0.3">
      <c r="B12" s="98">
        <v>44866</v>
      </c>
      <c r="C12" s="1" t="str">
        <f t="shared" si="0"/>
        <v>2022</v>
      </c>
      <c r="D12" s="97">
        <v>0</v>
      </c>
      <c r="E12" s="1">
        <v>39</v>
      </c>
      <c r="F12" s="108">
        <v>10.820005476004772</v>
      </c>
      <c r="G12" s="99">
        <v>0</v>
      </c>
      <c r="H12" s="1">
        <v>4.17</v>
      </c>
    </row>
    <row r="13" spans="2:8" x14ac:dyDescent="0.3">
      <c r="B13" s="98">
        <v>44896</v>
      </c>
      <c r="C13" s="1" t="str">
        <f t="shared" si="0"/>
        <v>2022</v>
      </c>
      <c r="D13" s="97">
        <v>0</v>
      </c>
      <c r="E13" s="1">
        <v>39</v>
      </c>
      <c r="F13" s="108">
        <v>5.4184427644743272</v>
      </c>
      <c r="G13" s="99">
        <v>0</v>
      </c>
      <c r="H13" s="1">
        <v>4.17</v>
      </c>
    </row>
    <row r="14" spans="2:8" x14ac:dyDescent="0.3">
      <c r="B14" s="98">
        <v>44927</v>
      </c>
      <c r="C14" s="1" t="str">
        <f t="shared" si="0"/>
        <v>2023</v>
      </c>
      <c r="D14" s="97">
        <v>192.15037183018455</v>
      </c>
      <c r="E14" s="1">
        <v>39</v>
      </c>
      <c r="F14" s="99">
        <v>0</v>
      </c>
      <c r="G14" s="99">
        <v>10.980021247439117</v>
      </c>
      <c r="H14" s="1">
        <v>4.17</v>
      </c>
    </row>
    <row r="15" spans="2:8" x14ac:dyDescent="0.3">
      <c r="B15" s="98">
        <v>44958</v>
      </c>
      <c r="C15" s="1" t="str">
        <f t="shared" si="0"/>
        <v>2023</v>
      </c>
      <c r="D15" s="97">
        <v>0</v>
      </c>
      <c r="E15" s="1">
        <v>39</v>
      </c>
      <c r="F15" s="99">
        <v>16.349569491310938</v>
      </c>
      <c r="G15" s="99">
        <v>0</v>
      </c>
      <c r="H15" s="1">
        <v>4.17</v>
      </c>
    </row>
    <row r="16" spans="2:8" x14ac:dyDescent="0.3">
      <c r="B16" s="98">
        <v>44986</v>
      </c>
      <c r="C16" s="1" t="str">
        <f t="shared" si="0"/>
        <v>2023</v>
      </c>
      <c r="D16" s="97">
        <v>0</v>
      </c>
      <c r="E16" s="1">
        <v>39</v>
      </c>
      <c r="F16" s="99">
        <v>10.935328739219473</v>
      </c>
      <c r="G16" s="99">
        <v>0</v>
      </c>
      <c r="H16" s="1">
        <v>4.17</v>
      </c>
    </row>
    <row r="17" spans="2:8" x14ac:dyDescent="0.3">
      <c r="B17" s="98">
        <v>45017</v>
      </c>
      <c r="C17" s="1" t="str">
        <f t="shared" si="0"/>
        <v>2023</v>
      </c>
      <c r="D17" s="97">
        <v>0</v>
      </c>
      <c r="E17" s="1">
        <v>39</v>
      </c>
      <c r="F17" s="99">
        <v>5.2433240556209721</v>
      </c>
      <c r="G17" s="99">
        <v>0</v>
      </c>
      <c r="H17" s="1">
        <v>4.17</v>
      </c>
    </row>
    <row r="18" spans="2:8" x14ac:dyDescent="0.3">
      <c r="B18" s="98">
        <v>45047</v>
      </c>
      <c r="C18" s="1" t="str">
        <f t="shared" si="0"/>
        <v>2023</v>
      </c>
      <c r="D18" s="97">
        <v>0</v>
      </c>
      <c r="E18" s="1">
        <v>39</v>
      </c>
      <c r="F18" s="99">
        <v>25.714107772659926</v>
      </c>
      <c r="G18" s="99">
        <v>0</v>
      </c>
      <c r="H18" s="1">
        <v>4.17</v>
      </c>
    </row>
    <row r="19" spans="2:8" x14ac:dyDescent="0.3">
      <c r="B19" s="98">
        <v>45078</v>
      </c>
      <c r="C19" s="1" t="str">
        <f t="shared" si="0"/>
        <v>2023</v>
      </c>
      <c r="D19" s="97">
        <v>0</v>
      </c>
      <c r="E19" s="1">
        <v>39</v>
      </c>
      <c r="F19" s="99">
        <v>0</v>
      </c>
      <c r="G19" s="99">
        <v>0</v>
      </c>
      <c r="H19" s="1">
        <v>4.17</v>
      </c>
    </row>
    <row r="20" spans="2:8" x14ac:dyDescent="0.3">
      <c r="B20" s="98">
        <v>45108</v>
      </c>
      <c r="C20" s="1" t="str">
        <f t="shared" si="0"/>
        <v>2023</v>
      </c>
      <c r="D20" s="97">
        <v>0</v>
      </c>
      <c r="E20" s="1">
        <v>39</v>
      </c>
      <c r="F20" s="99">
        <v>19.272528537917086</v>
      </c>
      <c r="G20" s="99">
        <v>0</v>
      </c>
      <c r="H20" s="1">
        <v>4.17</v>
      </c>
    </row>
    <row r="21" spans="2:8" x14ac:dyDescent="0.3">
      <c r="B21" s="98">
        <v>45139</v>
      </c>
      <c r="C21" s="1" t="str">
        <f t="shared" si="0"/>
        <v>2023</v>
      </c>
      <c r="D21" s="97">
        <v>0</v>
      </c>
      <c r="E21" s="1">
        <v>39</v>
      </c>
      <c r="F21" s="99">
        <v>4.7772250952984745</v>
      </c>
      <c r="G21" s="99">
        <v>0</v>
      </c>
      <c r="H21" s="1">
        <v>4.17</v>
      </c>
    </row>
    <row r="22" spans="2:8" x14ac:dyDescent="0.3">
      <c r="B22" s="98">
        <v>45170</v>
      </c>
      <c r="C22" s="1" t="str">
        <f t="shared" si="0"/>
        <v>2023</v>
      </c>
      <c r="D22" s="97">
        <v>0</v>
      </c>
      <c r="E22" s="1">
        <v>39</v>
      </c>
      <c r="F22" s="99">
        <v>14.064429244130222</v>
      </c>
      <c r="G22" s="99">
        <v>0</v>
      </c>
      <c r="H22" s="1">
        <v>4.17</v>
      </c>
    </row>
    <row r="23" spans="2:8" x14ac:dyDescent="0.3">
      <c r="B23" s="98">
        <v>45200</v>
      </c>
      <c r="C23" s="1" t="str">
        <f t="shared" si="0"/>
        <v>2023</v>
      </c>
      <c r="D23" s="97">
        <v>31.801146522192543</v>
      </c>
      <c r="E23" s="1">
        <v>39</v>
      </c>
      <c r="F23" s="99">
        <v>9.0860418634835831</v>
      </c>
      <c r="G23" s="99">
        <v>4.5430209317417916</v>
      </c>
      <c r="H23" s="1">
        <v>4.17</v>
      </c>
    </row>
    <row r="24" spans="2:8" x14ac:dyDescent="0.3">
      <c r="B24" s="98">
        <v>45231</v>
      </c>
      <c r="C24" s="1" t="str">
        <f t="shared" si="0"/>
        <v>2023</v>
      </c>
      <c r="D24" s="97">
        <v>27157.898739058761</v>
      </c>
      <c r="E24" s="1">
        <v>39</v>
      </c>
      <c r="F24" s="99">
        <v>0</v>
      </c>
      <c r="G24" s="99">
        <v>4.5263164565097931</v>
      </c>
      <c r="H24" s="1">
        <v>4.17</v>
      </c>
    </row>
    <row r="25" spans="2:8" x14ac:dyDescent="0.3">
      <c r="B25" s="98">
        <v>45261</v>
      </c>
      <c r="C25" s="1" t="str">
        <f t="shared" si="0"/>
        <v>2023</v>
      </c>
      <c r="D25" s="97">
        <v>144.9775359724303</v>
      </c>
      <c r="E25" s="1">
        <v>39</v>
      </c>
      <c r="F25" s="99">
        <v>4.8325845324143435</v>
      </c>
      <c r="G25" s="99">
        <v>4.8325845324143435</v>
      </c>
      <c r="H25" s="1">
        <v>4.17</v>
      </c>
    </row>
    <row r="26" spans="2:8" x14ac:dyDescent="0.3">
      <c r="B26" s="98">
        <v>45292</v>
      </c>
      <c r="C26" s="1" t="str">
        <f t="shared" si="0"/>
        <v>2024</v>
      </c>
      <c r="D26" s="97">
        <v>0</v>
      </c>
      <c r="E26" s="1">
        <v>39</v>
      </c>
      <c r="F26" s="99">
        <v>4.8589920506890047</v>
      </c>
      <c r="G26" s="99">
        <v>0</v>
      </c>
      <c r="H26" s="1">
        <v>4.17</v>
      </c>
    </row>
    <row r="27" spans="2:8" x14ac:dyDescent="0.3">
      <c r="B27" s="98">
        <v>45323</v>
      </c>
      <c r="C27" s="1" t="str">
        <f t="shared" si="0"/>
        <v>2024</v>
      </c>
      <c r="D27" s="97">
        <v>0</v>
      </c>
      <c r="E27" s="1">
        <v>39</v>
      </c>
      <c r="F27" s="99">
        <v>9.7561989302620553</v>
      </c>
      <c r="G27" s="99">
        <v>0</v>
      </c>
      <c r="H27" s="1">
        <v>4.17</v>
      </c>
    </row>
    <row r="28" spans="2:8" x14ac:dyDescent="0.3">
      <c r="B28" s="98">
        <v>45352</v>
      </c>
      <c r="C28" s="1" t="str">
        <f t="shared" si="0"/>
        <v>2024</v>
      </c>
      <c r="D28" s="97">
        <v>0</v>
      </c>
      <c r="E28" s="1">
        <v>39</v>
      </c>
      <c r="F28" s="99">
        <v>9.7359815982159006</v>
      </c>
      <c r="G28" s="99">
        <v>0</v>
      </c>
      <c r="H28" s="1">
        <v>4.17</v>
      </c>
    </row>
    <row r="29" spans="2:8" x14ac:dyDescent="0.3">
      <c r="B29" s="98">
        <v>45383</v>
      </c>
      <c r="C29" s="1" t="str">
        <f t="shared" si="0"/>
        <v>2024</v>
      </c>
      <c r="D29" s="97">
        <v>8.9233130476683389</v>
      </c>
      <c r="E29" s="1">
        <v>39</v>
      </c>
      <c r="F29" s="99">
        <v>8.9233130476683389</v>
      </c>
      <c r="G29" s="99">
        <v>4.4616565238341694</v>
      </c>
      <c r="H29" s="1">
        <v>4.17</v>
      </c>
    </row>
    <row r="30" spans="2:8" x14ac:dyDescent="0.3">
      <c r="B30" s="98">
        <v>45413</v>
      </c>
      <c r="C30" s="1" t="str">
        <f t="shared" si="0"/>
        <v>2024</v>
      </c>
      <c r="D30" s="97">
        <v>69.279602976410104</v>
      </c>
      <c r="E30" s="1">
        <v>39</v>
      </c>
      <c r="F30" s="99">
        <v>14.845629209230736</v>
      </c>
      <c r="G30" s="99">
        <v>4.9485430697435788</v>
      </c>
      <c r="H30" s="1">
        <v>4.17</v>
      </c>
    </row>
    <row r="31" spans="2:8" x14ac:dyDescent="0.3">
      <c r="B31" s="98">
        <v>45444</v>
      </c>
      <c r="C31" s="1" t="str">
        <f t="shared" si="0"/>
        <v>2024</v>
      </c>
      <c r="D31" s="97">
        <v>0</v>
      </c>
      <c r="E31" s="1">
        <v>39</v>
      </c>
      <c r="F31" s="99">
        <v>4.7320925786592092</v>
      </c>
      <c r="G31" s="99">
        <v>0</v>
      </c>
      <c r="H31" s="1">
        <v>4.17</v>
      </c>
    </row>
    <row r="32" spans="2:8" x14ac:dyDescent="0.3">
      <c r="B32" s="98">
        <v>45474</v>
      </c>
      <c r="C32" s="1" t="str">
        <f t="shared" si="0"/>
        <v>2024</v>
      </c>
      <c r="D32" s="97">
        <v>68.127515243531533</v>
      </c>
      <c r="E32" s="1">
        <v>39</v>
      </c>
      <c r="F32" s="99">
        <v>4.866251088823681</v>
      </c>
      <c r="G32" s="99">
        <v>4.866251088823681</v>
      </c>
      <c r="H32" s="1">
        <v>4.17</v>
      </c>
    </row>
    <row r="33" spans="2:8" x14ac:dyDescent="0.3">
      <c r="B33" s="98">
        <v>45505</v>
      </c>
      <c r="C33" s="1" t="str">
        <f t="shared" si="0"/>
        <v>2024</v>
      </c>
      <c r="D33" s="97">
        <v>0</v>
      </c>
      <c r="E33" s="1">
        <v>39</v>
      </c>
      <c r="F33" s="99">
        <v>4.7312641937925815</v>
      </c>
      <c r="G33" s="99">
        <v>0</v>
      </c>
      <c r="H33" s="1">
        <v>4.17</v>
      </c>
    </row>
    <row r="34" spans="2:8" x14ac:dyDescent="0.3">
      <c r="B34" s="98">
        <v>45536</v>
      </c>
      <c r="C34" s="1" t="str">
        <f t="shared" ref="C34:C61" si="1">TEXT(B34,"aaaa")</f>
        <v>2024</v>
      </c>
      <c r="D34" s="97">
        <v>0</v>
      </c>
      <c r="E34" s="1">
        <v>39</v>
      </c>
      <c r="F34" s="99">
        <v>4.7742951946718861</v>
      </c>
      <c r="G34" s="99">
        <v>0</v>
      </c>
      <c r="H34" s="1">
        <v>4.17</v>
      </c>
    </row>
    <row r="35" spans="2:8" x14ac:dyDescent="0.3">
      <c r="B35" s="98">
        <v>45566</v>
      </c>
      <c r="C35" s="1" t="str">
        <f t="shared" si="1"/>
        <v>2024</v>
      </c>
      <c r="D35" s="97">
        <v>0</v>
      </c>
      <c r="E35" s="1">
        <v>39</v>
      </c>
      <c r="F35" s="99">
        <v>4.4443642483606745</v>
      </c>
      <c r="G35" s="99">
        <v>0</v>
      </c>
      <c r="H35" s="1">
        <v>4.17</v>
      </c>
    </row>
    <row r="36" spans="2:8" x14ac:dyDescent="0.3">
      <c r="B36" s="98">
        <v>45597</v>
      </c>
      <c r="C36" s="1" t="str">
        <f t="shared" si="1"/>
        <v>2024</v>
      </c>
      <c r="D36" s="97">
        <v>0</v>
      </c>
      <c r="E36" s="1">
        <v>39</v>
      </c>
      <c r="F36" s="99">
        <v>0</v>
      </c>
      <c r="G36" s="99">
        <v>0</v>
      </c>
      <c r="H36" s="1">
        <v>4.17</v>
      </c>
    </row>
    <row r="37" spans="2:8" x14ac:dyDescent="0.3">
      <c r="B37" s="98">
        <v>45627</v>
      </c>
      <c r="C37" s="1" t="str">
        <f t="shared" si="1"/>
        <v>2024</v>
      </c>
      <c r="D37" s="97">
        <v>0</v>
      </c>
      <c r="E37" s="1">
        <v>39</v>
      </c>
      <c r="F37" s="99">
        <v>0</v>
      </c>
      <c r="G37" s="99">
        <v>0</v>
      </c>
      <c r="H37" s="1">
        <v>4.17</v>
      </c>
    </row>
    <row r="38" spans="2:8" x14ac:dyDescent="0.3">
      <c r="B38" s="101">
        <v>45658</v>
      </c>
      <c r="C38" s="102" t="str">
        <f t="shared" si="1"/>
        <v>2025</v>
      </c>
      <c r="D38" s="103">
        <v>0</v>
      </c>
      <c r="E38" s="102">
        <v>39</v>
      </c>
      <c r="F38" s="104">
        <v>0</v>
      </c>
      <c r="G38" s="99">
        <v>0</v>
      </c>
      <c r="H38" s="105">
        <v>4.17</v>
      </c>
    </row>
    <row r="39" spans="2:8" x14ac:dyDescent="0.3">
      <c r="B39" s="101">
        <v>45689</v>
      </c>
      <c r="C39" s="102" t="str">
        <f t="shared" si="1"/>
        <v>2025</v>
      </c>
      <c r="D39" s="103">
        <v>0</v>
      </c>
      <c r="E39" s="102">
        <v>39</v>
      </c>
      <c r="F39" s="104">
        <v>0</v>
      </c>
      <c r="G39" s="99">
        <v>0</v>
      </c>
      <c r="H39" s="105">
        <v>4.17</v>
      </c>
    </row>
    <row r="40" spans="2:8" x14ac:dyDescent="0.3">
      <c r="B40" s="101">
        <v>45717</v>
      </c>
      <c r="C40" s="102" t="str">
        <f t="shared" si="1"/>
        <v>2025</v>
      </c>
      <c r="D40" s="103">
        <v>0</v>
      </c>
      <c r="E40" s="102">
        <v>39</v>
      </c>
      <c r="F40" s="104">
        <v>0</v>
      </c>
      <c r="G40" s="99">
        <v>0</v>
      </c>
      <c r="H40" s="105">
        <v>4.17</v>
      </c>
    </row>
    <row r="41" spans="2:8" x14ac:dyDescent="0.3">
      <c r="B41" s="101">
        <v>45748</v>
      </c>
      <c r="C41" s="102" t="str">
        <f t="shared" si="1"/>
        <v>2025</v>
      </c>
      <c r="D41" s="103">
        <v>0</v>
      </c>
      <c r="E41" s="102">
        <v>39</v>
      </c>
      <c r="F41" s="104">
        <v>0</v>
      </c>
      <c r="G41" s="99">
        <v>0</v>
      </c>
      <c r="H41" s="105">
        <v>4.17</v>
      </c>
    </row>
    <row r="42" spans="2:8" x14ac:dyDescent="0.3">
      <c r="B42" s="101">
        <v>45778</v>
      </c>
      <c r="C42" s="102" t="str">
        <f t="shared" si="1"/>
        <v>2025</v>
      </c>
      <c r="D42" s="103">
        <v>0</v>
      </c>
      <c r="E42" s="102">
        <v>39</v>
      </c>
      <c r="F42" s="104">
        <v>6.3973796333021991</v>
      </c>
      <c r="G42" s="99">
        <v>0</v>
      </c>
      <c r="H42" s="105">
        <v>4.17</v>
      </c>
    </row>
    <row r="43" spans="2:8" x14ac:dyDescent="0.3">
      <c r="B43" s="101">
        <v>45809</v>
      </c>
      <c r="C43" s="102" t="str">
        <f t="shared" si="1"/>
        <v>2025</v>
      </c>
      <c r="D43" s="103">
        <v>0</v>
      </c>
      <c r="E43" s="102">
        <v>39</v>
      </c>
      <c r="F43" s="104">
        <v>0</v>
      </c>
      <c r="G43" s="99">
        <v>0</v>
      </c>
      <c r="H43" s="105">
        <v>4.17</v>
      </c>
    </row>
    <row r="44" spans="2:8" x14ac:dyDescent="0.3">
      <c r="B44" s="101">
        <v>45839</v>
      </c>
      <c r="C44" s="102" t="str">
        <f t="shared" si="1"/>
        <v>2025</v>
      </c>
      <c r="D44" s="103">
        <v>0</v>
      </c>
      <c r="E44" s="102">
        <v>39</v>
      </c>
      <c r="F44" s="104">
        <v>6.0213396276403577</v>
      </c>
      <c r="G44" s="99">
        <v>0</v>
      </c>
      <c r="H44" s="105">
        <v>4.17</v>
      </c>
    </row>
    <row r="45" spans="2:8" x14ac:dyDescent="0.3">
      <c r="B45" s="101">
        <v>45870</v>
      </c>
      <c r="C45" s="102" t="str">
        <f t="shared" si="1"/>
        <v>2025</v>
      </c>
      <c r="D45" s="103">
        <v>0</v>
      </c>
      <c r="E45" s="102">
        <v>39</v>
      </c>
      <c r="F45" s="104">
        <v>12.406024365431854</v>
      </c>
      <c r="G45" s="99">
        <v>0</v>
      </c>
      <c r="H45" s="105">
        <v>4.17</v>
      </c>
    </row>
    <row r="46" spans="2:8" x14ac:dyDescent="0.3">
      <c r="B46" s="101">
        <v>45901</v>
      </c>
      <c r="C46" s="102" t="str">
        <f t="shared" si="1"/>
        <v>2025</v>
      </c>
      <c r="D46" s="103">
        <v>0</v>
      </c>
      <c r="E46" s="102">
        <v>39</v>
      </c>
      <c r="F46" s="104">
        <v>0</v>
      </c>
      <c r="G46" s="99">
        <v>0</v>
      </c>
      <c r="H46" s="105">
        <v>4.17</v>
      </c>
    </row>
    <row r="47" spans="2:8" x14ac:dyDescent="0.3">
      <c r="B47" s="101">
        <v>45931</v>
      </c>
      <c r="C47" s="102" t="str">
        <f t="shared" si="1"/>
        <v>2025</v>
      </c>
      <c r="D47" s="103">
        <v>0</v>
      </c>
      <c r="E47" s="102">
        <v>39</v>
      </c>
      <c r="F47" s="104">
        <v>5.2255886625628376</v>
      </c>
      <c r="G47" s="99">
        <v>0</v>
      </c>
      <c r="H47" s="105">
        <v>4.17</v>
      </c>
    </row>
    <row r="48" spans="2:8" x14ac:dyDescent="0.3">
      <c r="B48" s="101">
        <v>45962</v>
      </c>
      <c r="C48" s="102" t="str">
        <f t="shared" si="1"/>
        <v>2025</v>
      </c>
      <c r="D48" s="103">
        <v>0</v>
      </c>
      <c r="E48" s="102">
        <v>39</v>
      </c>
      <c r="F48" s="104">
        <v>0</v>
      </c>
      <c r="G48" s="99">
        <v>0</v>
      </c>
      <c r="H48" s="105">
        <v>4.17</v>
      </c>
    </row>
    <row r="49" spans="2:8" x14ac:dyDescent="0.3">
      <c r="B49" s="101">
        <v>45992</v>
      </c>
      <c r="C49" s="102" t="str">
        <f t="shared" si="1"/>
        <v>2025</v>
      </c>
      <c r="D49" s="103">
        <v>0</v>
      </c>
      <c r="E49" s="102">
        <v>39</v>
      </c>
      <c r="F49" s="104">
        <v>0</v>
      </c>
      <c r="G49" s="99">
        <v>0</v>
      </c>
      <c r="H49" s="105">
        <v>4.17</v>
      </c>
    </row>
    <row r="50" spans="2:8" x14ac:dyDescent="0.3">
      <c r="B50" s="101">
        <v>46023</v>
      </c>
      <c r="C50" s="102" t="str">
        <f t="shared" si="1"/>
        <v>2026</v>
      </c>
      <c r="D50" s="103">
        <v>30.321774672828052</v>
      </c>
      <c r="E50" s="102">
        <v>39</v>
      </c>
      <c r="F50" s="104">
        <v>0</v>
      </c>
      <c r="G50" s="99">
        <f>[11]TF!$C$27</f>
        <v>6.0643549345656105</v>
      </c>
      <c r="H50" s="105">
        <v>4.17</v>
      </c>
    </row>
    <row r="51" spans="2:8" x14ac:dyDescent="0.3">
      <c r="B51" s="101">
        <v>46054</v>
      </c>
      <c r="C51" s="102" t="str">
        <f t="shared" si="1"/>
        <v>2026</v>
      </c>
      <c r="D51" s="102">
        <v>15</v>
      </c>
      <c r="E51" s="102">
        <v>39</v>
      </c>
      <c r="F51" s="104">
        <v>0</v>
      </c>
      <c r="G51" s="99">
        <f>[11]TF!$D$27</f>
        <v>3.0168551698338617</v>
      </c>
      <c r="H51" s="105">
        <v>4.17</v>
      </c>
    </row>
    <row r="52" spans="2:8" x14ac:dyDescent="0.3">
      <c r="B52" s="101">
        <v>46082</v>
      </c>
      <c r="C52" s="102" t="str">
        <f t="shared" si="1"/>
        <v>2026</v>
      </c>
      <c r="D52" s="102">
        <v>10</v>
      </c>
      <c r="E52" s="102">
        <v>39</v>
      </c>
      <c r="F52" s="104">
        <v>0</v>
      </c>
      <c r="G52" s="99">
        <f>[11]TF!$E$27</f>
        <v>1.9260066755391374</v>
      </c>
      <c r="H52" s="105">
        <v>4.17</v>
      </c>
    </row>
    <row r="53" spans="2:8" x14ac:dyDescent="0.3">
      <c r="B53" s="101">
        <v>46113</v>
      </c>
      <c r="C53" s="102" t="str">
        <f t="shared" si="1"/>
        <v>2026</v>
      </c>
      <c r="D53" s="102">
        <v>7</v>
      </c>
      <c r="E53" s="102">
        <v>39</v>
      </c>
      <c r="F53" s="104">
        <v>0</v>
      </c>
      <c r="G53" s="99">
        <v>1.43</v>
      </c>
      <c r="H53" s="105">
        <v>4.17</v>
      </c>
    </row>
    <row r="54" spans="2:8" x14ac:dyDescent="0.3">
      <c r="B54" s="101">
        <v>46143</v>
      </c>
      <c r="C54" s="102" t="str">
        <f t="shared" si="1"/>
        <v>2026</v>
      </c>
      <c r="D54" s="102">
        <v>6</v>
      </c>
      <c r="E54" s="102">
        <v>39</v>
      </c>
      <c r="F54" s="104">
        <v>0</v>
      </c>
      <c r="G54" s="99">
        <v>2.29</v>
      </c>
      <c r="H54" s="105">
        <v>4.17</v>
      </c>
    </row>
    <row r="55" spans="2:8" x14ac:dyDescent="0.3">
      <c r="B55" s="101">
        <v>46174</v>
      </c>
      <c r="C55" s="102" t="str">
        <f t="shared" si="1"/>
        <v>2026</v>
      </c>
      <c r="D55" s="102">
        <v>5</v>
      </c>
      <c r="E55" s="102">
        <v>39</v>
      </c>
      <c r="F55" s="104">
        <v>0</v>
      </c>
      <c r="G55" s="99">
        <v>1.89</v>
      </c>
      <c r="H55" s="105">
        <v>4.17</v>
      </c>
    </row>
    <row r="56" spans="2:8" x14ac:dyDescent="0.3">
      <c r="B56" s="101">
        <v>46204</v>
      </c>
      <c r="C56" s="102" t="str">
        <f t="shared" si="1"/>
        <v>2026</v>
      </c>
      <c r="D56" s="102">
        <v>4811</v>
      </c>
      <c r="E56" s="102">
        <v>39</v>
      </c>
      <c r="F56" s="104">
        <v>0</v>
      </c>
      <c r="G56" s="99">
        <v>2.4</v>
      </c>
      <c r="H56" s="105">
        <v>4.17</v>
      </c>
    </row>
    <row r="57" spans="2:8" x14ac:dyDescent="0.3">
      <c r="B57" s="101">
        <v>46235</v>
      </c>
      <c r="C57" s="102" t="str">
        <f t="shared" si="1"/>
        <v>2026</v>
      </c>
      <c r="D57" s="102">
        <v>0</v>
      </c>
      <c r="E57" s="102">
        <v>39</v>
      </c>
      <c r="F57" s="104">
        <v>0</v>
      </c>
      <c r="G57" s="99">
        <v>0</v>
      </c>
      <c r="H57" s="105">
        <v>4.17</v>
      </c>
    </row>
    <row r="58" spans="2:8" x14ac:dyDescent="0.3">
      <c r="B58" s="101">
        <v>46266</v>
      </c>
      <c r="C58" s="102" t="str">
        <f t="shared" si="1"/>
        <v>2026</v>
      </c>
      <c r="D58" s="102">
        <v>0</v>
      </c>
      <c r="E58" s="102">
        <v>39</v>
      </c>
      <c r="F58" s="104">
        <v>0</v>
      </c>
      <c r="G58" s="99">
        <v>0</v>
      </c>
      <c r="H58" s="105">
        <v>4.17</v>
      </c>
    </row>
    <row r="59" spans="2:8" x14ac:dyDescent="0.3">
      <c r="B59" s="101">
        <v>46296</v>
      </c>
      <c r="C59" s="102" t="str">
        <f t="shared" si="1"/>
        <v>2026</v>
      </c>
      <c r="D59" s="102">
        <v>0</v>
      </c>
      <c r="E59" s="102">
        <v>39</v>
      </c>
      <c r="F59" s="104">
        <v>0</v>
      </c>
      <c r="G59" s="99">
        <v>0</v>
      </c>
      <c r="H59" s="105">
        <v>4.17</v>
      </c>
    </row>
    <row r="60" spans="2:8" x14ac:dyDescent="0.3">
      <c r="B60" s="101">
        <v>46327</v>
      </c>
      <c r="C60" s="102" t="str">
        <f t="shared" si="1"/>
        <v>2026</v>
      </c>
      <c r="D60" s="102">
        <v>0</v>
      </c>
      <c r="E60" s="102">
        <v>39</v>
      </c>
      <c r="F60" s="104">
        <v>0</v>
      </c>
      <c r="G60" s="99">
        <v>0</v>
      </c>
      <c r="H60" s="105">
        <v>4.17</v>
      </c>
    </row>
    <row r="61" spans="2:8" x14ac:dyDescent="0.3">
      <c r="B61" s="106">
        <v>46357</v>
      </c>
      <c r="C61" s="107" t="str">
        <f t="shared" si="1"/>
        <v>2026</v>
      </c>
      <c r="D61" s="107">
        <v>0</v>
      </c>
      <c r="E61" s="107">
        <v>39</v>
      </c>
      <c r="F61" s="104">
        <v>0</v>
      </c>
      <c r="G61" s="99">
        <v>0</v>
      </c>
      <c r="H61" s="109">
        <v>4.17</v>
      </c>
    </row>
  </sheetData>
  <phoneticPr fontId="14" type="noConversion"/>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7FA98-2266-4E8B-9AEB-68A10F5C6EC7}">
  <dimension ref="A1:H4"/>
  <sheetViews>
    <sheetView showGridLines="0" workbookViewId="0">
      <pane ySplit="1" topLeftCell="A2" activePane="bottomLeft" state="frozen"/>
      <selection pane="bottomLeft" activeCell="D8" sqref="D8"/>
    </sheetView>
  </sheetViews>
  <sheetFormatPr defaultRowHeight="14.4" x14ac:dyDescent="0.3"/>
  <cols>
    <col min="1" max="1" width="11.6640625" style="115" bestFit="1" customWidth="1"/>
    <col min="2" max="8" width="10.5546875" customWidth="1"/>
  </cols>
  <sheetData>
    <row r="1" spans="1:8" s="1" customFormat="1" ht="15.6" x14ac:dyDescent="0.3">
      <c r="A1" s="113" t="s">
        <v>543</v>
      </c>
      <c r="B1" s="112" t="s">
        <v>556</v>
      </c>
      <c r="C1" s="112" t="s">
        <v>557</v>
      </c>
      <c r="D1" s="112" t="s">
        <v>553</v>
      </c>
      <c r="E1" s="112" t="s">
        <v>554</v>
      </c>
      <c r="F1" s="112" t="s">
        <v>555</v>
      </c>
      <c r="G1" s="112" t="s">
        <v>558</v>
      </c>
      <c r="H1" s="112" t="s">
        <v>559</v>
      </c>
    </row>
    <row r="2" spans="1:8" ht="15.6" x14ac:dyDescent="0.3">
      <c r="A2" s="114">
        <v>46023</v>
      </c>
      <c r="B2" s="110">
        <v>6.1</v>
      </c>
      <c r="C2" s="110">
        <v>30</v>
      </c>
      <c r="D2" s="111"/>
      <c r="E2" s="111"/>
      <c r="F2" s="111"/>
      <c r="G2" s="111"/>
      <c r="H2" s="111"/>
    </row>
    <row r="3" spans="1:8" ht="15.6" x14ac:dyDescent="0.3">
      <c r="A3" s="114">
        <v>46054</v>
      </c>
      <c r="B3" s="110">
        <v>0</v>
      </c>
      <c r="C3" s="110">
        <v>0</v>
      </c>
      <c r="D3" s="111">
        <v>0.93</v>
      </c>
      <c r="E3" s="111">
        <v>0.82</v>
      </c>
      <c r="F3" s="111">
        <v>1</v>
      </c>
      <c r="G3" s="111">
        <v>1</v>
      </c>
      <c r="H3" s="111">
        <v>0.95</v>
      </c>
    </row>
    <row r="4" spans="1:8" ht="15.6" x14ac:dyDescent="0.3">
      <c r="A4" s="114">
        <v>46082</v>
      </c>
      <c r="B4" s="110">
        <v>0</v>
      </c>
      <c r="C4" s="110">
        <v>0</v>
      </c>
      <c r="D4" s="111">
        <v>0.93</v>
      </c>
      <c r="E4" s="111">
        <v>0.82</v>
      </c>
      <c r="F4" s="111">
        <v>1</v>
      </c>
      <c r="G4" s="111">
        <v>1</v>
      </c>
      <c r="H4" s="111">
        <v>0.95</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34998626667073579"/>
  </sheetPr>
  <dimension ref="B1:CJ40"/>
  <sheetViews>
    <sheetView showGridLines="0" showRowColHeaders="0" zoomScale="60" zoomScaleNormal="60" workbookViewId="0">
      <selection activeCell="AI21" sqref="AI21"/>
    </sheetView>
  </sheetViews>
  <sheetFormatPr defaultRowHeight="14.4" x14ac:dyDescent="0.3"/>
  <cols>
    <col min="1" max="1" width="0.5546875" customWidth="1"/>
    <col min="44" max="44" width="20.6640625" style="1" bestFit="1" customWidth="1"/>
    <col min="45" max="45" width="22.33203125" style="1" bestFit="1" customWidth="1"/>
    <col min="46" max="46" width="10.33203125" style="1" bestFit="1" customWidth="1"/>
    <col min="47" max="47" width="9.5546875" style="1" bestFit="1" customWidth="1"/>
    <col min="48" max="48" width="10.44140625" style="1" bestFit="1" customWidth="1"/>
    <col min="49" max="49" width="8.88671875" style="1"/>
    <col min="75" max="75" width="20.6640625" style="1" bestFit="1" customWidth="1"/>
    <col min="76" max="76" width="17.6640625" style="1" bestFit="1" customWidth="1"/>
    <col min="79" max="79" width="20.6640625" bestFit="1" customWidth="1"/>
    <col min="80" max="80" width="17.6640625" bestFit="1" customWidth="1"/>
    <col min="83" max="83" width="20.6640625" bestFit="1" customWidth="1"/>
    <col min="84" max="84" width="17.6640625" bestFit="1" customWidth="1"/>
    <col min="87" max="87" width="20.6640625" bestFit="1" customWidth="1"/>
    <col min="88" max="88" width="17.6640625" bestFit="1" customWidth="1"/>
  </cols>
  <sheetData>
    <row r="1" spans="2:88" ht="3" customHeight="1" x14ac:dyDescent="0.3"/>
    <row r="2" spans="2:88" ht="29.4" customHeight="1" x14ac:dyDescent="0.3">
      <c r="B2" s="183" t="s">
        <v>20</v>
      </c>
      <c r="C2" s="183"/>
      <c r="D2" s="183"/>
      <c r="E2" s="183"/>
      <c r="F2" s="183"/>
      <c r="G2" s="183"/>
      <c r="H2" s="183"/>
      <c r="I2" s="183"/>
      <c r="J2" s="183"/>
      <c r="K2" s="183"/>
      <c r="L2" s="183"/>
      <c r="M2" s="183"/>
      <c r="N2" s="183"/>
      <c r="O2" s="183"/>
      <c r="P2" s="183"/>
      <c r="Q2" s="183"/>
      <c r="R2" s="183"/>
      <c r="S2" s="183"/>
      <c r="T2" s="183"/>
      <c r="U2" s="183"/>
      <c r="V2" s="183"/>
      <c r="CJ2">
        <f>SUMIFS(CJ4:CJ130,CI4:CI130,"TOTAL GERAL")</f>
        <v>5</v>
      </c>
    </row>
    <row r="3" spans="2:88" ht="6" customHeight="1" x14ac:dyDescent="0.3">
      <c r="B3" s="183"/>
      <c r="C3" s="183"/>
      <c r="D3" s="183"/>
      <c r="E3" s="183"/>
      <c r="F3" s="183"/>
      <c r="G3" s="183"/>
      <c r="H3" s="183"/>
      <c r="I3" s="183"/>
      <c r="J3" s="183"/>
      <c r="K3" s="183"/>
      <c r="L3" s="183"/>
      <c r="M3" s="183"/>
      <c r="N3" s="183"/>
      <c r="O3" s="183"/>
      <c r="P3" s="183"/>
      <c r="Q3" s="183"/>
      <c r="R3" s="183"/>
      <c r="S3" s="183"/>
      <c r="T3" s="183"/>
      <c r="U3" s="183"/>
      <c r="V3" s="183"/>
    </row>
    <row r="4" spans="2:88" ht="15" customHeight="1" x14ac:dyDescent="0.3">
      <c r="B4" s="183"/>
      <c r="C4" s="183"/>
      <c r="D4" s="183"/>
      <c r="E4" s="183"/>
      <c r="F4" s="183"/>
      <c r="G4" s="183"/>
      <c r="H4" s="183"/>
      <c r="I4" s="183"/>
      <c r="J4" s="183"/>
      <c r="K4" s="183"/>
      <c r="L4" s="183"/>
      <c r="M4" s="183"/>
      <c r="N4" s="183"/>
      <c r="O4" s="183"/>
      <c r="P4" s="183"/>
      <c r="Q4" s="183"/>
      <c r="R4" s="183"/>
      <c r="S4" s="183"/>
      <c r="T4" s="183"/>
      <c r="U4" s="183"/>
      <c r="V4" s="183"/>
      <c r="AR4" s="130" t="s">
        <v>21</v>
      </c>
      <c r="AS4" s="1" t="s">
        <v>23</v>
      </c>
      <c r="AT4"/>
      <c r="AU4"/>
      <c r="AV4"/>
      <c r="AW4"/>
      <c r="BW4" s="130" t="s">
        <v>21</v>
      </c>
      <c r="BX4" s="1" t="s">
        <v>23</v>
      </c>
      <c r="CA4" s="130" t="s">
        <v>21</v>
      </c>
      <c r="CB4" s="1" t="s">
        <v>23</v>
      </c>
      <c r="CE4" s="130" t="s">
        <v>21</v>
      </c>
      <c r="CF4" s="1" t="s">
        <v>23</v>
      </c>
      <c r="CI4" s="130" t="s">
        <v>21</v>
      </c>
      <c r="CJ4" s="1" t="s">
        <v>23</v>
      </c>
    </row>
    <row r="5" spans="2:88" x14ac:dyDescent="0.3">
      <c r="AR5" s="1" t="s">
        <v>69</v>
      </c>
      <c r="AS5" s="1">
        <v>2</v>
      </c>
      <c r="AT5"/>
      <c r="AU5"/>
      <c r="AV5"/>
      <c r="AW5"/>
      <c r="BW5" s="1" t="s">
        <v>257</v>
      </c>
      <c r="BX5" s="1">
        <v>5</v>
      </c>
      <c r="CA5" s="1" t="s">
        <v>97</v>
      </c>
      <c r="CB5" s="1">
        <v>1</v>
      </c>
      <c r="CE5" s="1" t="s">
        <v>84</v>
      </c>
      <c r="CF5" s="1">
        <v>4</v>
      </c>
      <c r="CI5" s="1" t="s">
        <v>550</v>
      </c>
      <c r="CJ5" s="1">
        <v>1</v>
      </c>
    </row>
    <row r="6" spans="2:88" x14ac:dyDescent="0.3">
      <c r="AR6" s="1" t="s">
        <v>136</v>
      </c>
      <c r="AS6" s="1">
        <v>2</v>
      </c>
      <c r="AT6"/>
      <c r="AU6"/>
      <c r="AV6"/>
      <c r="AW6"/>
      <c r="BW6" s="1" t="s">
        <v>22</v>
      </c>
      <c r="BX6" s="1">
        <v>5</v>
      </c>
      <c r="CA6" s="1" t="s">
        <v>104</v>
      </c>
      <c r="CB6" s="1">
        <v>1</v>
      </c>
      <c r="CE6" s="1" t="s">
        <v>222</v>
      </c>
      <c r="CF6" s="1">
        <v>1</v>
      </c>
      <c r="CI6" s="1" t="s">
        <v>343</v>
      </c>
      <c r="CJ6" s="1">
        <v>1</v>
      </c>
    </row>
    <row r="7" spans="2:88" x14ac:dyDescent="0.3">
      <c r="AR7" s="1" t="s">
        <v>209</v>
      </c>
      <c r="AS7" s="1">
        <v>2</v>
      </c>
      <c r="AT7"/>
      <c r="AU7"/>
      <c r="AV7"/>
      <c r="AW7"/>
      <c r="BW7"/>
      <c r="BX7"/>
      <c r="CA7" s="1" t="s">
        <v>79</v>
      </c>
      <c r="CB7" s="1">
        <v>1</v>
      </c>
      <c r="CE7" s="1" t="s">
        <v>22</v>
      </c>
      <c r="CF7" s="1">
        <v>5</v>
      </c>
      <c r="CI7" s="1" t="s">
        <v>633</v>
      </c>
      <c r="CJ7" s="1">
        <v>1</v>
      </c>
    </row>
    <row r="8" spans="2:88" x14ac:dyDescent="0.3">
      <c r="AR8" s="1" t="s">
        <v>230</v>
      </c>
      <c r="AS8" s="1">
        <v>5</v>
      </c>
      <c r="AT8"/>
      <c r="AU8"/>
      <c r="AV8"/>
      <c r="AW8"/>
      <c r="BW8"/>
      <c r="BX8"/>
      <c r="CA8" s="1" t="s">
        <v>93</v>
      </c>
      <c r="CB8" s="1">
        <v>2</v>
      </c>
      <c r="CI8" s="1" t="s">
        <v>487</v>
      </c>
      <c r="CJ8" s="1">
        <v>1</v>
      </c>
    </row>
    <row r="9" spans="2:88" x14ac:dyDescent="0.3">
      <c r="AR9" s="1" t="s">
        <v>244</v>
      </c>
      <c r="AS9" s="1">
        <v>2</v>
      </c>
      <c r="AT9"/>
      <c r="AU9"/>
      <c r="AV9"/>
      <c r="AW9"/>
      <c r="BW9"/>
      <c r="BX9"/>
      <c r="CA9" s="1" t="s">
        <v>22</v>
      </c>
      <c r="CB9" s="1">
        <v>5</v>
      </c>
      <c r="CI9" s="1" t="s">
        <v>488</v>
      </c>
      <c r="CJ9" s="1">
        <v>1</v>
      </c>
    </row>
    <row r="10" spans="2:88" x14ac:dyDescent="0.3">
      <c r="AR10" s="1" t="s">
        <v>256</v>
      </c>
      <c r="AS10" s="1">
        <v>5</v>
      </c>
      <c r="AT10"/>
      <c r="AU10"/>
      <c r="AV10"/>
      <c r="AW10"/>
      <c r="BW10"/>
      <c r="BX10"/>
      <c r="CI10" s="1" t="s">
        <v>22</v>
      </c>
      <c r="CJ10" s="1">
        <v>5</v>
      </c>
    </row>
    <row r="11" spans="2:88" x14ac:dyDescent="0.3">
      <c r="AR11" s="1" t="s">
        <v>284</v>
      </c>
      <c r="AS11" s="1">
        <v>3</v>
      </c>
      <c r="AT11"/>
      <c r="AU11"/>
      <c r="AV11"/>
      <c r="AW11"/>
      <c r="BW11"/>
      <c r="BX11"/>
    </row>
    <row r="12" spans="2:88" x14ac:dyDescent="0.3">
      <c r="AR12" s="1" t="s">
        <v>302</v>
      </c>
      <c r="AS12" s="1">
        <v>1</v>
      </c>
      <c r="BW12"/>
      <c r="BX12"/>
    </row>
    <row r="13" spans="2:88" x14ac:dyDescent="0.3">
      <c r="AR13" s="1" t="s">
        <v>314</v>
      </c>
      <c r="AS13" s="1">
        <v>2</v>
      </c>
      <c r="BW13"/>
      <c r="BX13"/>
    </row>
    <row r="14" spans="2:88" x14ac:dyDescent="0.3">
      <c r="AR14" s="1" t="s">
        <v>22</v>
      </c>
      <c r="AS14" s="1">
        <v>24</v>
      </c>
      <c r="BW14"/>
      <c r="BX14"/>
    </row>
    <row r="15" spans="2:88" x14ac:dyDescent="0.3">
      <c r="AR15"/>
      <c r="AS15"/>
      <c r="BW15"/>
      <c r="BX15"/>
    </row>
    <row r="16" spans="2:88" x14ac:dyDescent="0.3">
      <c r="AR16"/>
      <c r="AS16"/>
      <c r="BW16"/>
      <c r="BX16"/>
    </row>
    <row r="17" spans="44:76" x14ac:dyDescent="0.3">
      <c r="AR17"/>
      <c r="AS17"/>
      <c r="BW17"/>
      <c r="BX17"/>
    </row>
    <row r="18" spans="44:76" x14ac:dyDescent="0.3">
      <c r="AR18"/>
      <c r="AS18"/>
      <c r="BW18"/>
      <c r="BX18"/>
    </row>
    <row r="19" spans="44:76" x14ac:dyDescent="0.3">
      <c r="AR19"/>
      <c r="AS19"/>
      <c r="BW19"/>
      <c r="BX19"/>
    </row>
    <row r="20" spans="44:76" x14ac:dyDescent="0.3">
      <c r="AR20"/>
      <c r="AS20"/>
      <c r="BW20"/>
      <c r="BX20"/>
    </row>
    <row r="21" spans="44:76" x14ac:dyDescent="0.3">
      <c r="AR21"/>
      <c r="AS21"/>
      <c r="BW21"/>
      <c r="BX21"/>
    </row>
    <row r="22" spans="44:76" x14ac:dyDescent="0.3">
      <c r="AR22"/>
      <c r="AS22"/>
      <c r="BW22"/>
      <c r="BX22"/>
    </row>
    <row r="23" spans="44:76" x14ac:dyDescent="0.3">
      <c r="AR23"/>
      <c r="AS23"/>
      <c r="BW23"/>
      <c r="BX23"/>
    </row>
    <row r="24" spans="44:76" x14ac:dyDescent="0.3">
      <c r="AR24"/>
      <c r="AS24"/>
    </row>
    <row r="25" spans="44:76" x14ac:dyDescent="0.3">
      <c r="AR25"/>
      <c r="AS25"/>
    </row>
    <row r="26" spans="44:76" x14ac:dyDescent="0.3">
      <c r="AR26"/>
      <c r="AS26"/>
    </row>
    <row r="27" spans="44:76" x14ac:dyDescent="0.3">
      <c r="AR27"/>
      <c r="AS27"/>
    </row>
    <row r="28" spans="44:76" x14ac:dyDescent="0.3">
      <c r="AR28"/>
      <c r="AS28"/>
    </row>
    <row r="29" spans="44:76" x14ac:dyDescent="0.3">
      <c r="AR29"/>
      <c r="AS29"/>
    </row>
    <row r="30" spans="44:76" x14ac:dyDescent="0.3">
      <c r="AR30"/>
      <c r="AS30"/>
    </row>
    <row r="31" spans="44:76" x14ac:dyDescent="0.3">
      <c r="AR31"/>
      <c r="AS31"/>
    </row>
    <row r="32" spans="44:76" x14ac:dyDescent="0.3">
      <c r="AR32"/>
      <c r="AS32"/>
    </row>
    <row r="33" spans="44:45" x14ac:dyDescent="0.3">
      <c r="AR33"/>
      <c r="AS33"/>
    </row>
    <row r="34" spans="44:45" x14ac:dyDescent="0.3">
      <c r="AR34"/>
      <c r="AS34"/>
    </row>
    <row r="35" spans="44:45" x14ac:dyDescent="0.3">
      <c r="AR35"/>
      <c r="AS35"/>
    </row>
    <row r="36" spans="44:45" x14ac:dyDescent="0.3">
      <c r="AR36"/>
      <c r="AS36"/>
    </row>
    <row r="37" spans="44:45" x14ac:dyDescent="0.3">
      <c r="AR37"/>
      <c r="AS37"/>
    </row>
    <row r="38" spans="44:45" x14ac:dyDescent="0.3">
      <c r="AR38"/>
      <c r="AS38"/>
    </row>
    <row r="39" spans="44:45" x14ac:dyDescent="0.3">
      <c r="AR39"/>
      <c r="AS39"/>
    </row>
    <row r="40" spans="44:45" x14ac:dyDescent="0.3">
      <c r="AR40"/>
      <c r="AS40"/>
    </row>
  </sheetData>
  <mergeCells count="1">
    <mergeCell ref="B2:V4"/>
  </mergeCells>
  <pageMargins left="0.511811024" right="0.511811024" top="0.78740157499999996" bottom="0.78740157499999996" header="0.31496062000000002" footer="0.31496062000000002"/>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87668-03BA-40E6-98ED-55ED94F68A15}">
  <dimension ref="A1:G22"/>
  <sheetViews>
    <sheetView zoomScale="85" zoomScaleNormal="85" workbookViewId="0">
      <selection activeCell="G4" sqref="G4"/>
    </sheetView>
  </sheetViews>
  <sheetFormatPr defaultRowHeight="14.4" x14ac:dyDescent="0.3"/>
  <cols>
    <col min="1" max="1" width="23.21875" bestFit="1" customWidth="1"/>
    <col min="3" max="3" width="72.33203125" bestFit="1" customWidth="1"/>
    <col min="5" max="5" width="12.109375" bestFit="1" customWidth="1"/>
    <col min="7" max="7" width="7.5546875" bestFit="1" customWidth="1"/>
  </cols>
  <sheetData>
    <row r="1" spans="1:7" x14ac:dyDescent="0.3">
      <c r="A1" s="73" t="s">
        <v>7</v>
      </c>
      <c r="C1" s="73" t="s">
        <v>259</v>
      </c>
      <c r="E1" s="73" t="s">
        <v>674</v>
      </c>
      <c r="G1" s="73" t="s">
        <v>672</v>
      </c>
    </row>
    <row r="2" spans="1:7" x14ac:dyDescent="0.3">
      <c r="A2" s="72" t="s">
        <v>251</v>
      </c>
      <c r="C2" s="71" t="s">
        <v>260</v>
      </c>
      <c r="E2" s="71" t="s">
        <v>675</v>
      </c>
      <c r="G2" s="71" t="s">
        <v>677</v>
      </c>
    </row>
    <row r="3" spans="1:7" x14ac:dyDescent="0.3">
      <c r="A3" s="72" t="s">
        <v>258</v>
      </c>
      <c r="C3" s="71" t="s">
        <v>261</v>
      </c>
      <c r="E3" s="71" t="s">
        <v>676</v>
      </c>
      <c r="G3" s="71" t="s">
        <v>678</v>
      </c>
    </row>
    <row r="4" spans="1:7" x14ac:dyDescent="0.3">
      <c r="A4" s="72" t="s">
        <v>257</v>
      </c>
      <c r="C4" s="71" t="s">
        <v>262</v>
      </c>
      <c r="G4" s="71" t="s">
        <v>679</v>
      </c>
    </row>
    <row r="5" spans="1:7" x14ac:dyDescent="0.3">
      <c r="A5" s="72" t="s">
        <v>601</v>
      </c>
      <c r="C5" s="71" t="s">
        <v>263</v>
      </c>
    </row>
    <row r="6" spans="1:7" x14ac:dyDescent="0.3">
      <c r="A6" s="72" t="s">
        <v>602</v>
      </c>
      <c r="C6" s="71" t="s">
        <v>264</v>
      </c>
    </row>
    <row r="7" spans="1:7" x14ac:dyDescent="0.3">
      <c r="C7" s="71" t="s">
        <v>265</v>
      </c>
    </row>
    <row r="8" spans="1:7" x14ac:dyDescent="0.3">
      <c r="C8" s="71" t="s">
        <v>266</v>
      </c>
    </row>
    <row r="9" spans="1:7" x14ac:dyDescent="0.3">
      <c r="C9" s="71" t="s">
        <v>212</v>
      </c>
    </row>
    <row r="10" spans="1:7" x14ac:dyDescent="0.3">
      <c r="C10" s="71" t="s">
        <v>267</v>
      </c>
    </row>
    <row r="11" spans="1:7" x14ac:dyDescent="0.3">
      <c r="C11" s="71" t="s">
        <v>268</v>
      </c>
    </row>
    <row r="12" spans="1:7" x14ac:dyDescent="0.3">
      <c r="C12" s="71" t="s">
        <v>269</v>
      </c>
    </row>
    <row r="13" spans="1:7" x14ac:dyDescent="0.3">
      <c r="C13" s="71" t="s">
        <v>270</v>
      </c>
    </row>
    <row r="14" spans="1:7" x14ac:dyDescent="0.3">
      <c r="C14" s="71" t="s">
        <v>271</v>
      </c>
    </row>
    <row r="15" spans="1:7" x14ac:dyDescent="0.3">
      <c r="C15" s="71" t="s">
        <v>272</v>
      </c>
    </row>
    <row r="16" spans="1:7" x14ac:dyDescent="0.3">
      <c r="C16" s="71" t="s">
        <v>273</v>
      </c>
    </row>
    <row r="17" spans="3:3" x14ac:dyDescent="0.3">
      <c r="C17" s="71" t="s">
        <v>268</v>
      </c>
    </row>
    <row r="18" spans="3:3" x14ac:dyDescent="0.3">
      <c r="C18" s="71" t="s">
        <v>274</v>
      </c>
    </row>
    <row r="19" spans="3:3" x14ac:dyDescent="0.3">
      <c r="C19" s="71" t="s">
        <v>275</v>
      </c>
    </row>
    <row r="20" spans="3:3" x14ac:dyDescent="0.3">
      <c r="C20" s="71" t="s">
        <v>276</v>
      </c>
    </row>
    <row r="21" spans="3:3" x14ac:dyDescent="0.3">
      <c r="C21" s="71" t="s">
        <v>258</v>
      </c>
    </row>
    <row r="22" spans="3:3" x14ac:dyDescent="0.3">
      <c r="C22" s="71" t="s">
        <v>300</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C1:CK31"/>
  <sheetViews>
    <sheetView showGridLines="0" topLeftCell="B1" zoomScale="60" zoomScaleNormal="60" workbookViewId="0">
      <selection activeCell="AG1" sqref="AG1"/>
    </sheetView>
  </sheetViews>
  <sheetFormatPr defaultRowHeight="14.4" x14ac:dyDescent="0.3"/>
  <cols>
    <col min="1" max="1" width="6.33203125" customWidth="1"/>
    <col min="2" max="2" width="2.44140625" customWidth="1"/>
    <col min="45" max="45" width="20.6640625" style="1" bestFit="1" customWidth="1"/>
    <col min="46" max="46" width="22.33203125" style="1" bestFit="1" customWidth="1"/>
    <col min="47" max="47" width="10.33203125" style="1" bestFit="1" customWidth="1"/>
    <col min="48" max="48" width="9.5546875" style="1" bestFit="1" customWidth="1"/>
    <col min="49" max="49" width="10.44140625" style="1" bestFit="1" customWidth="1"/>
    <col min="50" max="50" width="9.109375" style="1"/>
    <col min="76" max="76" width="20.6640625" style="1" bestFit="1" customWidth="1"/>
    <col min="77" max="77" width="17.6640625" style="1" bestFit="1" customWidth="1"/>
    <col min="80" max="80" width="20.6640625" bestFit="1" customWidth="1"/>
    <col min="81" max="81" width="17.6640625" bestFit="1" customWidth="1"/>
    <col min="84" max="84" width="20.6640625" bestFit="1" customWidth="1"/>
    <col min="85" max="85" width="17.6640625" bestFit="1" customWidth="1"/>
    <col min="88" max="88" width="20.6640625" bestFit="1" customWidth="1"/>
    <col min="89" max="89" width="17.6640625" bestFit="1" customWidth="1"/>
  </cols>
  <sheetData>
    <row r="1" spans="3:89" ht="3" customHeight="1" x14ac:dyDescent="0.3"/>
    <row r="2" spans="3:89" ht="29.4" customHeight="1" x14ac:dyDescent="0.3">
      <c r="C2" s="184" t="s">
        <v>63</v>
      </c>
      <c r="D2" s="185"/>
      <c r="E2" s="185"/>
      <c r="F2" s="185"/>
      <c r="G2" s="185"/>
      <c r="H2" s="185"/>
      <c r="I2" s="185"/>
      <c r="J2" s="185"/>
      <c r="K2" s="185"/>
      <c r="L2" s="185"/>
      <c r="M2" s="185"/>
      <c r="N2" s="185"/>
      <c r="O2" s="185"/>
      <c r="P2" s="185"/>
      <c r="Q2" s="185"/>
      <c r="R2" s="185"/>
      <c r="S2" s="185"/>
      <c r="T2" s="185"/>
      <c r="U2" s="185"/>
      <c r="V2" s="185"/>
      <c r="W2" s="186"/>
      <c r="CK2">
        <f>SUMIFS(CK4:CK130,CJ4:CJ130,"TOTAL GERAL")</f>
        <v>27</v>
      </c>
    </row>
    <row r="3" spans="3:89" ht="6" customHeight="1" x14ac:dyDescent="0.3">
      <c r="C3" s="187"/>
      <c r="D3" s="188"/>
      <c r="E3" s="188"/>
      <c r="F3" s="188"/>
      <c r="G3" s="188"/>
      <c r="H3" s="188"/>
      <c r="I3" s="188"/>
      <c r="J3" s="188"/>
      <c r="K3" s="188"/>
      <c r="L3" s="188"/>
      <c r="M3" s="188"/>
      <c r="N3" s="188"/>
      <c r="O3" s="188"/>
      <c r="P3" s="188"/>
      <c r="Q3" s="188"/>
      <c r="R3" s="188"/>
      <c r="S3" s="188"/>
      <c r="T3" s="188"/>
      <c r="U3" s="188"/>
      <c r="V3" s="188"/>
      <c r="W3" s="189"/>
    </row>
    <row r="4" spans="3:89" x14ac:dyDescent="0.3">
      <c r="C4" s="187"/>
      <c r="D4" s="188"/>
      <c r="E4" s="188"/>
      <c r="F4" s="188"/>
      <c r="G4" s="188"/>
      <c r="H4" s="188"/>
      <c r="I4" s="188"/>
      <c r="J4" s="188"/>
      <c r="K4" s="188"/>
      <c r="L4" s="188"/>
      <c r="M4" s="188"/>
      <c r="N4" s="188"/>
      <c r="O4" s="188"/>
      <c r="P4" s="188"/>
      <c r="Q4" s="188"/>
      <c r="R4" s="188"/>
      <c r="S4" s="188"/>
      <c r="T4" s="188"/>
      <c r="U4" s="188"/>
      <c r="V4" s="188"/>
      <c r="W4" s="189"/>
      <c r="AS4" s="130" t="s">
        <v>21</v>
      </c>
      <c r="AT4" s="1" t="s">
        <v>23</v>
      </c>
      <c r="AU4"/>
      <c r="AV4"/>
      <c r="AW4"/>
      <c r="AX4"/>
      <c r="BX4" s="130" t="s">
        <v>21</v>
      </c>
      <c r="BY4" s="1" t="s">
        <v>23</v>
      </c>
      <c r="CB4" s="130" t="s">
        <v>21</v>
      </c>
      <c r="CC4" s="1" t="s">
        <v>23</v>
      </c>
      <c r="CF4" s="130" t="s">
        <v>21</v>
      </c>
      <c r="CG4" s="1" t="s">
        <v>23</v>
      </c>
      <c r="CJ4" s="130" t="s">
        <v>21</v>
      </c>
      <c r="CK4" s="1" t="s">
        <v>23</v>
      </c>
    </row>
    <row r="5" spans="3:89" x14ac:dyDescent="0.3">
      <c r="C5" s="190"/>
      <c r="D5" s="191"/>
      <c r="E5" s="191"/>
      <c r="F5" s="191"/>
      <c r="G5" s="191"/>
      <c r="H5" s="191"/>
      <c r="I5" s="191"/>
      <c r="J5" s="191"/>
      <c r="K5" s="191"/>
      <c r="L5" s="191"/>
      <c r="M5" s="191"/>
      <c r="N5" s="191"/>
      <c r="O5" s="191"/>
      <c r="P5" s="191"/>
      <c r="Q5" s="191"/>
      <c r="R5" s="191"/>
      <c r="S5" s="191"/>
      <c r="T5" s="191"/>
      <c r="U5" s="191"/>
      <c r="V5" s="191"/>
      <c r="W5" s="192"/>
      <c r="AS5" s="1" t="s">
        <v>136</v>
      </c>
      <c r="AT5" s="1">
        <v>6</v>
      </c>
      <c r="AU5"/>
      <c r="AV5"/>
      <c r="AW5"/>
      <c r="AX5"/>
      <c r="BX5" s="1" t="s">
        <v>129</v>
      </c>
      <c r="BY5" s="1">
        <v>12</v>
      </c>
      <c r="CB5" s="1" t="s">
        <v>97</v>
      </c>
      <c r="CC5" s="1">
        <v>3</v>
      </c>
      <c r="CF5" s="1" t="s">
        <v>24</v>
      </c>
      <c r="CG5" s="1">
        <v>11</v>
      </c>
      <c r="CJ5" s="1" t="s">
        <v>227</v>
      </c>
      <c r="CK5" s="1">
        <v>2</v>
      </c>
    </row>
    <row r="6" spans="3:89" x14ac:dyDescent="0.3">
      <c r="AS6" s="1" t="s">
        <v>171</v>
      </c>
      <c r="AT6" s="1">
        <v>8</v>
      </c>
      <c r="AU6"/>
      <c r="AV6"/>
      <c r="AW6"/>
      <c r="AX6"/>
      <c r="BX6" s="1" t="s">
        <v>196</v>
      </c>
      <c r="BY6" s="1">
        <v>5</v>
      </c>
      <c r="CB6" s="1" t="s">
        <v>104</v>
      </c>
      <c r="CC6" s="1">
        <v>3</v>
      </c>
      <c r="CF6" s="1" t="s">
        <v>84</v>
      </c>
      <c r="CG6" s="1">
        <v>10</v>
      </c>
      <c r="CJ6" s="1" t="s">
        <v>128</v>
      </c>
      <c r="CK6" s="1">
        <v>2</v>
      </c>
    </row>
    <row r="7" spans="3:89" x14ac:dyDescent="0.3">
      <c r="AS7" s="1" t="s">
        <v>209</v>
      </c>
      <c r="AT7" s="1">
        <v>6</v>
      </c>
      <c r="AU7"/>
      <c r="AV7"/>
      <c r="AW7"/>
      <c r="AX7"/>
      <c r="BX7" s="1" t="s">
        <v>228</v>
      </c>
      <c r="BY7" s="1">
        <v>3</v>
      </c>
      <c r="CB7" s="1" t="s">
        <v>79</v>
      </c>
      <c r="CC7" s="1">
        <v>4</v>
      </c>
      <c r="CF7" s="1" t="s">
        <v>115</v>
      </c>
      <c r="CG7" s="1">
        <v>3</v>
      </c>
      <c r="CJ7" s="1" t="s">
        <v>83</v>
      </c>
      <c r="CK7" s="1">
        <v>1</v>
      </c>
    </row>
    <row r="8" spans="3:89" x14ac:dyDescent="0.3">
      <c r="AS8" s="1" t="s">
        <v>230</v>
      </c>
      <c r="AT8" s="1">
        <v>1</v>
      </c>
      <c r="AU8"/>
      <c r="AV8"/>
      <c r="AW8"/>
      <c r="AX8"/>
      <c r="BX8" s="1" t="s">
        <v>192</v>
      </c>
      <c r="BY8" s="1">
        <v>1</v>
      </c>
      <c r="CB8" s="1" t="s">
        <v>26</v>
      </c>
      <c r="CC8" s="1">
        <v>14</v>
      </c>
      <c r="CF8" s="1" t="s">
        <v>172</v>
      </c>
      <c r="CG8" s="1">
        <v>1</v>
      </c>
      <c r="CJ8" s="1" t="s">
        <v>173</v>
      </c>
      <c r="CK8" s="1">
        <v>1</v>
      </c>
    </row>
    <row r="9" spans="3:89" x14ac:dyDescent="0.3">
      <c r="AS9" s="1" t="s">
        <v>244</v>
      </c>
      <c r="AT9" s="1">
        <v>1</v>
      </c>
      <c r="AU9"/>
      <c r="AV9"/>
      <c r="AW9"/>
      <c r="AX9"/>
      <c r="BX9" s="1" t="s">
        <v>217</v>
      </c>
      <c r="BY9" s="1">
        <v>1</v>
      </c>
      <c r="CB9" s="1" t="s">
        <v>93</v>
      </c>
      <c r="CC9" s="1">
        <v>3</v>
      </c>
      <c r="CF9" s="1" t="s">
        <v>222</v>
      </c>
      <c r="CG9" s="1">
        <v>1</v>
      </c>
      <c r="CJ9" s="1" t="s">
        <v>72</v>
      </c>
      <c r="CK9" s="1">
        <v>1</v>
      </c>
    </row>
    <row r="10" spans="3:89" x14ac:dyDescent="0.3">
      <c r="AS10" s="1" t="s">
        <v>69</v>
      </c>
      <c r="AT10" s="1">
        <v>5</v>
      </c>
      <c r="AU10"/>
      <c r="AV10"/>
      <c r="AW10"/>
      <c r="AX10"/>
      <c r="BX10" s="1" t="s">
        <v>133</v>
      </c>
      <c r="BY10" s="1">
        <v>1</v>
      </c>
      <c r="CB10" s="1" t="s">
        <v>243</v>
      </c>
      <c r="CC10" s="1"/>
      <c r="CF10" s="1" t="s">
        <v>168</v>
      </c>
      <c r="CG10" s="1">
        <v>1</v>
      </c>
      <c r="CJ10" s="1" t="s">
        <v>100</v>
      </c>
      <c r="CK10" s="1">
        <v>1</v>
      </c>
    </row>
    <row r="11" spans="3:89" x14ac:dyDescent="0.3">
      <c r="AU11"/>
      <c r="AV11"/>
      <c r="AW11"/>
      <c r="AX11"/>
      <c r="BX11" s="1" t="s">
        <v>224</v>
      </c>
      <c r="BY11" s="1">
        <v>1</v>
      </c>
      <c r="CB11" s="1" t="s">
        <v>22</v>
      </c>
      <c r="CC11" s="1">
        <v>27</v>
      </c>
      <c r="CF11" s="1" t="s">
        <v>243</v>
      </c>
      <c r="CG11" s="1"/>
      <c r="CJ11" s="1" t="s">
        <v>6</v>
      </c>
      <c r="CK11" s="1">
        <v>1</v>
      </c>
    </row>
    <row r="12" spans="3:89" x14ac:dyDescent="0.3">
      <c r="AS12" s="1" t="s">
        <v>243</v>
      </c>
      <c r="BX12" s="1" t="s">
        <v>124</v>
      </c>
      <c r="BY12" s="1">
        <v>1</v>
      </c>
      <c r="CF12" s="1" t="s">
        <v>22</v>
      </c>
      <c r="CG12" s="1">
        <v>27</v>
      </c>
      <c r="CJ12" s="1" t="s">
        <v>106</v>
      </c>
      <c r="CK12" s="1">
        <v>1</v>
      </c>
    </row>
    <row r="13" spans="3:89" x14ac:dyDescent="0.3">
      <c r="AS13" s="1" t="s">
        <v>22</v>
      </c>
      <c r="AT13" s="1">
        <v>27</v>
      </c>
      <c r="BX13" s="1" t="s">
        <v>110</v>
      </c>
      <c r="BY13" s="1">
        <v>1</v>
      </c>
      <c r="CJ13" s="1" t="s">
        <v>216</v>
      </c>
      <c r="CK13" s="1">
        <v>1</v>
      </c>
    </row>
    <row r="14" spans="3:89" x14ac:dyDescent="0.3">
      <c r="AS14"/>
      <c r="AT14"/>
      <c r="BX14" s="1" t="s">
        <v>147</v>
      </c>
      <c r="BY14" s="1">
        <v>1</v>
      </c>
      <c r="CJ14" s="1" t="s">
        <v>109</v>
      </c>
      <c r="CK14" s="1">
        <v>1</v>
      </c>
    </row>
    <row r="15" spans="3:89" x14ac:dyDescent="0.3">
      <c r="AS15"/>
      <c r="AT15"/>
      <c r="BX15" s="1" t="s">
        <v>243</v>
      </c>
      <c r="CJ15" s="1" t="s">
        <v>167</v>
      </c>
      <c r="CK15" s="1">
        <v>1</v>
      </c>
    </row>
    <row r="16" spans="3:89" x14ac:dyDescent="0.3">
      <c r="AS16"/>
      <c r="AT16"/>
      <c r="BX16" s="1" t="s">
        <v>22</v>
      </c>
      <c r="BY16" s="1">
        <v>27</v>
      </c>
      <c r="CJ16" s="1" t="s">
        <v>120</v>
      </c>
      <c r="CK16" s="1">
        <v>1</v>
      </c>
    </row>
    <row r="17" spans="45:89" x14ac:dyDescent="0.3">
      <c r="AS17"/>
      <c r="AT17"/>
      <c r="CJ17" s="1" t="s">
        <v>184</v>
      </c>
      <c r="CK17" s="1">
        <v>1</v>
      </c>
    </row>
    <row r="18" spans="45:89" x14ac:dyDescent="0.3">
      <c r="AS18"/>
      <c r="AT18"/>
      <c r="CJ18" s="1" t="s">
        <v>191</v>
      </c>
      <c r="CK18" s="1">
        <v>1</v>
      </c>
    </row>
    <row r="19" spans="45:89" x14ac:dyDescent="0.3">
      <c r="AS19"/>
      <c r="AT19"/>
      <c r="CJ19" s="1" t="s">
        <v>75</v>
      </c>
      <c r="CK19" s="1">
        <v>1</v>
      </c>
    </row>
    <row r="20" spans="45:89" x14ac:dyDescent="0.3">
      <c r="AS20"/>
      <c r="AT20"/>
      <c r="CJ20" s="1" t="s">
        <v>195</v>
      </c>
      <c r="CK20" s="1">
        <v>1</v>
      </c>
    </row>
    <row r="21" spans="45:89" x14ac:dyDescent="0.3">
      <c r="AS21"/>
      <c r="AT21"/>
      <c r="CJ21" s="1" t="s">
        <v>200</v>
      </c>
      <c r="CK21" s="1">
        <v>1</v>
      </c>
    </row>
    <row r="22" spans="45:89" x14ac:dyDescent="0.3">
      <c r="AS22"/>
      <c r="AT22"/>
      <c r="CJ22" s="1" t="s">
        <v>131</v>
      </c>
      <c r="CK22" s="1">
        <v>1</v>
      </c>
    </row>
    <row r="23" spans="45:89" x14ac:dyDescent="0.3">
      <c r="AS23"/>
      <c r="AT23"/>
      <c r="CJ23" s="1" t="s">
        <v>206</v>
      </c>
      <c r="CK23" s="1">
        <v>1</v>
      </c>
    </row>
    <row r="24" spans="45:89" x14ac:dyDescent="0.3">
      <c r="AS24"/>
      <c r="AT24"/>
      <c r="CJ24" s="1" t="s">
        <v>140</v>
      </c>
      <c r="CK24" s="1">
        <v>1</v>
      </c>
    </row>
    <row r="25" spans="45:89" x14ac:dyDescent="0.3">
      <c r="CJ25" s="1" t="s">
        <v>223</v>
      </c>
      <c r="CK25" s="1">
        <v>1</v>
      </c>
    </row>
    <row r="26" spans="45:89" x14ac:dyDescent="0.3">
      <c r="CJ26" s="1" t="s">
        <v>153</v>
      </c>
      <c r="CK26" s="1">
        <v>1</v>
      </c>
    </row>
    <row r="27" spans="45:89" x14ac:dyDescent="0.3">
      <c r="CJ27" s="1" t="s">
        <v>248</v>
      </c>
      <c r="CK27" s="1">
        <v>1</v>
      </c>
    </row>
    <row r="28" spans="45:89" x14ac:dyDescent="0.3">
      <c r="CJ28" s="1" t="s">
        <v>122</v>
      </c>
      <c r="CK28" s="1">
        <v>1</v>
      </c>
    </row>
    <row r="29" spans="45:89" x14ac:dyDescent="0.3">
      <c r="CJ29" s="1" t="s">
        <v>163</v>
      </c>
      <c r="CK29" s="1">
        <v>1</v>
      </c>
    </row>
    <row r="30" spans="45:89" x14ac:dyDescent="0.3">
      <c r="CJ30" s="1" t="s">
        <v>243</v>
      </c>
      <c r="CK30" s="1"/>
    </row>
    <row r="31" spans="45:89" x14ac:dyDescent="0.3">
      <c r="CJ31" s="1" t="s">
        <v>22</v>
      </c>
      <c r="CK31" s="1">
        <v>27</v>
      </c>
    </row>
  </sheetData>
  <mergeCells count="1">
    <mergeCell ref="C2:W5"/>
  </mergeCells>
  <pageMargins left="0.511811024" right="0.511811024" top="0.78740157499999996" bottom="0.78740157499999996" header="0.31496062000000002" footer="0.31496062000000002"/>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AE38"/>
  <sheetViews>
    <sheetView showGridLines="0" zoomScale="70" zoomScaleNormal="70" workbookViewId="0">
      <pane xSplit="1" ySplit="9" topLeftCell="O10" activePane="bottomRight" state="frozen"/>
      <selection pane="topRight" activeCell="B1" sqref="B1"/>
      <selection pane="bottomLeft" activeCell="A10" sqref="A10"/>
      <selection pane="bottomRight" activeCell="AA10" sqref="AA10:AB36"/>
    </sheetView>
  </sheetViews>
  <sheetFormatPr defaultColWidth="10.88671875" defaultRowHeight="14.4" x14ac:dyDescent="0.3"/>
  <cols>
    <col min="1" max="1" width="0.44140625" style="1" customWidth="1"/>
    <col min="2" max="2" width="12.88671875" style="1" customWidth="1"/>
    <col min="3" max="3" width="12.44140625" style="1" bestFit="1" customWidth="1"/>
    <col min="4" max="4" width="37.6640625" style="1" bestFit="1" customWidth="1"/>
    <col min="5" max="5" width="15.109375" style="1" customWidth="1"/>
    <col min="6" max="6" width="14.88671875" style="1" bestFit="1" customWidth="1"/>
    <col min="7" max="7" width="25.5546875" style="1" customWidth="1"/>
    <col min="8" max="8" width="22.6640625" style="1" customWidth="1"/>
    <col min="9" max="9" width="23.44140625" style="1" bestFit="1" customWidth="1"/>
    <col min="10" max="10" width="20.33203125" style="1" bestFit="1" customWidth="1"/>
    <col min="11" max="11" width="20.33203125" style="1" customWidth="1"/>
    <col min="12" max="12" width="12.5546875" style="1" customWidth="1"/>
    <col min="13" max="13" width="15.5546875" style="1" customWidth="1"/>
    <col min="14" max="14" width="21.5546875" style="1" bestFit="1" customWidth="1"/>
    <col min="15" max="15" width="12.5546875" style="1" bestFit="1" customWidth="1"/>
    <col min="16" max="16" width="17.6640625" style="1" bestFit="1" customWidth="1"/>
    <col min="17" max="17" width="11.109375" style="1" bestFit="1" customWidth="1"/>
    <col min="18" max="18" width="13.44140625" style="1" bestFit="1" customWidth="1"/>
    <col min="19" max="19" width="13" style="1" bestFit="1" customWidth="1"/>
    <col min="20" max="20" width="18.109375" style="1" bestFit="1" customWidth="1"/>
    <col min="21" max="21" width="11.5546875" style="1" bestFit="1" customWidth="1"/>
    <col min="22" max="22" width="13.88671875" style="1" bestFit="1" customWidth="1"/>
    <col min="23" max="23" width="13" style="1" bestFit="1" customWidth="1"/>
    <col min="24" max="24" width="18.109375" style="1" bestFit="1" customWidth="1"/>
    <col min="25" max="25" width="11.5546875" style="1" bestFit="1" customWidth="1"/>
    <col min="26" max="26" width="13.88671875" style="1" bestFit="1" customWidth="1"/>
    <col min="27" max="27" width="13" style="1" bestFit="1" customWidth="1"/>
    <col min="28" max="28" width="18.109375" style="1" bestFit="1" customWidth="1"/>
    <col min="29" max="29" width="11.5546875" style="1" bestFit="1" customWidth="1"/>
    <col min="30" max="30" width="13.88671875" style="1" bestFit="1" customWidth="1"/>
    <col min="31" max="31" width="45.33203125" style="1" customWidth="1"/>
    <col min="32" max="32" width="40.33203125" style="1" bestFit="1" customWidth="1"/>
    <col min="33" max="33" width="50.5546875" style="1" bestFit="1" customWidth="1"/>
    <col min="34" max="34" width="40.6640625" style="1" bestFit="1" customWidth="1"/>
    <col min="35" max="35" width="35.44140625" style="1" bestFit="1" customWidth="1"/>
    <col min="36" max="36" width="48" style="1" bestFit="1" customWidth="1"/>
    <col min="37" max="37" width="70.5546875" style="1" bestFit="1" customWidth="1"/>
    <col min="38" max="16384" width="10.88671875" style="1"/>
  </cols>
  <sheetData>
    <row r="1" spans="1:31" ht="3" customHeight="1" x14ac:dyDescent="0.3">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31" x14ac:dyDescent="0.3">
      <c r="B2" s="13"/>
      <c r="C2" s="172" t="s">
        <v>19</v>
      </c>
      <c r="D2" s="173"/>
      <c r="E2" s="174"/>
      <c r="F2" s="3" t="s">
        <v>8</v>
      </c>
      <c r="G2" s="172" t="s">
        <v>10</v>
      </c>
      <c r="H2" s="173"/>
      <c r="I2" s="174"/>
      <c r="J2" s="172" t="s">
        <v>12</v>
      </c>
      <c r="K2" s="173"/>
      <c r="L2" s="173"/>
      <c r="M2" s="173"/>
      <c r="N2" s="174"/>
      <c r="O2" s="193"/>
      <c r="P2" s="193"/>
      <c r="Q2" s="193"/>
      <c r="R2" s="193"/>
      <c r="S2" s="193"/>
      <c r="T2" s="193"/>
      <c r="U2" s="193"/>
      <c r="V2" s="193"/>
      <c r="W2" s="193"/>
      <c r="X2" s="193"/>
      <c r="Y2" s="193"/>
      <c r="Z2" s="193"/>
      <c r="AA2" s="193"/>
      <c r="AB2" s="193"/>
      <c r="AC2" s="193"/>
      <c r="AD2" s="193"/>
      <c r="AE2" s="193"/>
    </row>
    <row r="3" spans="1:31" x14ac:dyDescent="0.3">
      <c r="B3" s="13"/>
      <c r="C3" s="163"/>
      <c r="D3" s="164"/>
      <c r="E3" s="165"/>
      <c r="F3" s="4" t="s">
        <v>9</v>
      </c>
      <c r="G3" s="175" t="s">
        <v>11</v>
      </c>
      <c r="H3" s="176"/>
      <c r="I3" s="177"/>
      <c r="J3" s="175" t="s">
        <v>62</v>
      </c>
      <c r="K3" s="176"/>
      <c r="L3" s="176"/>
      <c r="M3" s="176"/>
      <c r="N3" s="177"/>
      <c r="O3" s="193"/>
      <c r="P3" s="193"/>
      <c r="Q3" s="193"/>
      <c r="R3" s="193"/>
      <c r="S3" s="193"/>
      <c r="T3" s="193"/>
      <c r="U3" s="193"/>
      <c r="V3" s="193"/>
      <c r="W3" s="193"/>
      <c r="X3" s="193"/>
      <c r="Y3" s="193"/>
      <c r="Z3" s="193"/>
      <c r="AA3" s="193"/>
      <c r="AB3" s="193"/>
      <c r="AC3" s="193"/>
      <c r="AD3" s="193"/>
      <c r="AE3" s="193"/>
    </row>
    <row r="4" spans="1:31" x14ac:dyDescent="0.3">
      <c r="B4" s="13"/>
      <c r="C4" s="166"/>
      <c r="D4" s="167"/>
      <c r="E4" s="168"/>
      <c r="F4" s="3" t="s">
        <v>14</v>
      </c>
      <c r="G4" s="172" t="s">
        <v>16</v>
      </c>
      <c r="H4" s="173"/>
      <c r="I4" s="174"/>
      <c r="J4" s="172" t="s">
        <v>17</v>
      </c>
      <c r="K4" s="173"/>
      <c r="L4" s="173"/>
      <c r="M4" s="173"/>
      <c r="N4" s="174"/>
      <c r="O4" s="193"/>
      <c r="P4" s="193"/>
      <c r="Q4" s="193"/>
      <c r="R4" s="193"/>
      <c r="S4" s="193"/>
      <c r="T4" s="193"/>
      <c r="U4" s="193"/>
      <c r="V4" s="193"/>
      <c r="W4" s="193"/>
      <c r="X4" s="193"/>
      <c r="Y4" s="193"/>
      <c r="Z4" s="193"/>
      <c r="AA4" s="193"/>
      <c r="AB4" s="193"/>
      <c r="AC4" s="193"/>
      <c r="AD4" s="193"/>
      <c r="AE4" s="193"/>
    </row>
    <row r="5" spans="1:31" x14ac:dyDescent="0.3">
      <c r="B5" s="13"/>
      <c r="C5" s="166"/>
      <c r="D5" s="167"/>
      <c r="E5" s="168"/>
      <c r="F5" s="4" t="s">
        <v>15</v>
      </c>
      <c r="G5" s="175">
        <v>0</v>
      </c>
      <c r="H5" s="176"/>
      <c r="I5" s="177"/>
      <c r="J5" s="180">
        <f ca="1">TODAY()</f>
        <v>46321</v>
      </c>
      <c r="K5" s="181"/>
      <c r="L5" s="181"/>
      <c r="M5" s="181"/>
      <c r="N5" s="182"/>
      <c r="O5" s="193"/>
      <c r="P5" s="193"/>
      <c r="Q5" s="193"/>
      <c r="R5" s="193"/>
      <c r="S5" s="193"/>
      <c r="T5" s="193"/>
      <c r="U5" s="193"/>
      <c r="V5" s="193"/>
      <c r="W5" s="193"/>
      <c r="X5" s="193"/>
      <c r="Y5" s="193"/>
      <c r="Z5" s="193"/>
      <c r="AA5" s="193"/>
      <c r="AB5" s="193"/>
      <c r="AC5" s="193"/>
      <c r="AD5" s="193"/>
      <c r="AE5" s="193"/>
    </row>
    <row r="6" spans="1:31" x14ac:dyDescent="0.3">
      <c r="B6" s="13"/>
      <c r="C6" s="166"/>
      <c r="D6" s="167"/>
      <c r="E6" s="168"/>
      <c r="F6" s="172" t="s">
        <v>18</v>
      </c>
      <c r="G6" s="173"/>
      <c r="H6" s="173"/>
      <c r="I6" s="173"/>
      <c r="J6" s="173"/>
      <c r="K6" s="173"/>
      <c r="L6" s="173"/>
      <c r="M6" s="173"/>
      <c r="N6" s="174"/>
      <c r="O6" s="193"/>
      <c r="P6" s="193"/>
      <c r="Q6" s="193"/>
      <c r="R6" s="193"/>
      <c r="S6" s="193"/>
      <c r="T6" s="193"/>
      <c r="U6" s="193"/>
      <c r="V6" s="193"/>
      <c r="W6" s="193"/>
      <c r="X6" s="193"/>
      <c r="Y6" s="193"/>
      <c r="Z6" s="193"/>
      <c r="AA6" s="193"/>
      <c r="AB6" s="193"/>
      <c r="AC6" s="193"/>
      <c r="AD6" s="193"/>
      <c r="AE6" s="193"/>
    </row>
    <row r="7" spans="1:31" x14ac:dyDescent="0.3">
      <c r="B7" s="13"/>
      <c r="C7" s="169"/>
      <c r="D7" s="170"/>
      <c r="E7" s="171"/>
      <c r="F7" s="175" t="s">
        <v>58</v>
      </c>
      <c r="G7" s="176"/>
      <c r="H7" s="176"/>
      <c r="I7" s="176"/>
      <c r="J7" s="176"/>
      <c r="K7" s="176"/>
      <c r="L7" s="176"/>
      <c r="M7" s="176"/>
      <c r="N7" s="177"/>
      <c r="O7" s="193"/>
      <c r="P7" s="193"/>
      <c r="Q7" s="193"/>
      <c r="R7" s="193"/>
      <c r="S7" s="193"/>
      <c r="T7" s="193"/>
      <c r="U7" s="193"/>
      <c r="V7" s="193"/>
      <c r="W7" s="193"/>
      <c r="X7" s="193"/>
      <c r="Y7" s="193"/>
      <c r="Z7" s="193"/>
      <c r="AA7" s="193"/>
      <c r="AB7" s="193"/>
      <c r="AC7" s="193"/>
      <c r="AD7" s="193"/>
      <c r="AE7" s="193"/>
    </row>
    <row r="8" spans="1:31" x14ac:dyDescent="0.3">
      <c r="B8" s="13"/>
      <c r="C8" s="13"/>
      <c r="D8" s="13"/>
      <c r="E8" s="13"/>
      <c r="F8" s="13"/>
      <c r="G8" s="13"/>
      <c r="H8" s="13"/>
      <c r="I8" s="13"/>
      <c r="J8" s="13"/>
      <c r="K8" s="13"/>
      <c r="L8" s="13"/>
      <c r="M8" s="13"/>
      <c r="N8" s="13"/>
      <c r="O8" s="194"/>
      <c r="P8" s="194"/>
      <c r="Q8" s="194"/>
      <c r="R8" s="194"/>
      <c r="S8" s="194"/>
      <c r="T8" s="194"/>
      <c r="U8" s="194"/>
      <c r="V8" s="194"/>
      <c r="W8" s="194"/>
      <c r="X8" s="194"/>
      <c r="Y8" s="194"/>
      <c r="Z8" s="194"/>
      <c r="AA8" s="194"/>
      <c r="AB8" s="194"/>
      <c r="AC8" s="194"/>
      <c r="AD8" s="194"/>
      <c r="AE8" s="194"/>
    </row>
    <row r="9" spans="1:31" ht="26.4" x14ac:dyDescent="0.3">
      <c r="A9" s="21" t="s">
        <v>61</v>
      </c>
      <c r="B9" s="5" t="s">
        <v>30</v>
      </c>
      <c r="C9" s="6" t="s">
        <v>0</v>
      </c>
      <c r="D9" s="6" t="s">
        <v>59</v>
      </c>
      <c r="E9" s="6" t="s">
        <v>1</v>
      </c>
      <c r="F9" s="6" t="s">
        <v>2</v>
      </c>
      <c r="G9" s="6" t="s">
        <v>7</v>
      </c>
      <c r="H9" s="6" t="s">
        <v>71</v>
      </c>
      <c r="I9" s="6" t="s">
        <v>6</v>
      </c>
      <c r="J9" s="6" t="s">
        <v>3</v>
      </c>
      <c r="K9" s="39" t="s">
        <v>81</v>
      </c>
      <c r="L9" s="6" t="s">
        <v>31</v>
      </c>
      <c r="M9" s="6" t="s">
        <v>4</v>
      </c>
      <c r="N9" s="6" t="s">
        <v>28</v>
      </c>
      <c r="O9" s="6" t="s">
        <v>32</v>
      </c>
      <c r="P9" s="6" t="s">
        <v>34</v>
      </c>
      <c r="Q9" s="6" t="s">
        <v>35</v>
      </c>
      <c r="R9" s="6" t="s">
        <v>36</v>
      </c>
      <c r="S9" s="6" t="s">
        <v>40</v>
      </c>
      <c r="T9" s="6" t="s">
        <v>41</v>
      </c>
      <c r="U9" s="6" t="s">
        <v>42</v>
      </c>
      <c r="V9" s="6" t="s">
        <v>43</v>
      </c>
      <c r="W9" s="6" t="s">
        <v>44</v>
      </c>
      <c r="X9" s="6" t="s">
        <v>45</v>
      </c>
      <c r="Y9" s="6" t="s">
        <v>46</v>
      </c>
      <c r="Z9" s="6" t="s">
        <v>47</v>
      </c>
      <c r="AA9" s="6" t="s">
        <v>48</v>
      </c>
      <c r="AB9" s="6" t="s">
        <v>49</v>
      </c>
      <c r="AC9" s="6" t="s">
        <v>50</v>
      </c>
      <c r="AD9" s="6" t="s">
        <v>51</v>
      </c>
      <c r="AE9" s="6" t="s">
        <v>56</v>
      </c>
    </row>
    <row r="10" spans="1:31" x14ac:dyDescent="0.3">
      <c r="B10" s="7" t="str">
        <f>IF(Tabela15[[#This Row],[DATA]],PROPER(TEXT(Tabela15[[#This Row],[DATA]],"mmm")),"")</f>
        <v>Jan</v>
      </c>
      <c r="C10" s="8">
        <v>45292</v>
      </c>
      <c r="D10" s="8" t="s">
        <v>74</v>
      </c>
      <c r="E10" s="9" t="s">
        <v>72</v>
      </c>
      <c r="F10" s="9" t="s">
        <v>24</v>
      </c>
      <c r="G10" s="44" t="s">
        <v>129</v>
      </c>
      <c r="H10" s="20" t="s">
        <v>73</v>
      </c>
      <c r="I10" s="9" t="s">
        <v>27</v>
      </c>
      <c r="J10" s="9" t="s">
        <v>25</v>
      </c>
      <c r="K10" s="9" t="s">
        <v>101</v>
      </c>
      <c r="L10" s="9" t="s">
        <v>26</v>
      </c>
      <c r="M10" s="9" t="s">
        <v>5</v>
      </c>
      <c r="N10" s="9" t="s">
        <v>29</v>
      </c>
      <c r="O10" s="8">
        <f t="shared" ref="O10" si="0">IF($C10="","",$C10)</f>
        <v>45292</v>
      </c>
      <c r="P10" s="8">
        <v>45292</v>
      </c>
      <c r="Q10" s="9">
        <f t="shared" ref="Q10:Q21" ca="1" si="1">IF($C10="","",IF(P10="",TODAY()-O10,P10-O10))</f>
        <v>0</v>
      </c>
      <c r="R10" s="4" t="str">
        <f t="shared" ref="R10:R15" ca="1" si="2">IF($C10="","",IF(AND($C10&lt;&gt;"",P10=""),IF(O10=TODAY(),"VENCE HOJE",IF(O10&lt;TODAY(),"ATRASADO","NO PRAZO")),IF(P10&lt;=O10,"NO PRAZO","ATRASADO")))</f>
        <v>NO PRAZO</v>
      </c>
      <c r="S10" s="8">
        <f t="shared" ref="S10" si="3">IF($C10="","",$C10+1)</f>
        <v>45293</v>
      </c>
      <c r="T10" s="8">
        <v>45293</v>
      </c>
      <c r="U10" s="9">
        <f t="shared" ref="U10:U15" ca="1" si="4">IF($C10="","",IF(T10="",TODAY()-S10,T10-S10))</f>
        <v>0</v>
      </c>
      <c r="V10" s="9" t="str">
        <f t="shared" ref="V10:V15" ca="1" si="5">IF($C10="","",IF(AND($C10&lt;&gt;"",T10=""),IF(S10=TODAY(),"VENCE HOJE",IF(S10&lt;TODAY(),"ATRASADO","NO PRAZO")),IF(T10&lt;=S10,"NO PRAZO","ATRASADO")))</f>
        <v>NO PRAZO</v>
      </c>
      <c r="W10" s="8">
        <f t="shared" ref="W10" si="6">IF($C10="","",$C10+5)</f>
        <v>45297</v>
      </c>
      <c r="X10" s="8">
        <v>45297</v>
      </c>
      <c r="Y10" s="9">
        <f t="shared" ref="Y10:Y15" ca="1" si="7">IF($C10="","",IF(X10="",TODAY()-W10,X10-W10))</f>
        <v>0</v>
      </c>
      <c r="Z10" s="9" t="str">
        <f t="shared" ref="Z10:Z15" ca="1" si="8">IF($C10="","",IF(AND($C10&lt;&gt;"",X10=""),IF(W10=TODAY(),"VENCE HOJE",IF(W10&lt;TODAY(),"ATRASADO","NO PRAZO")),IF(X10&lt;=W10,"NO PRAZO","ATRASADO")))</f>
        <v>NO PRAZO</v>
      </c>
      <c r="AA10" s="8">
        <f t="shared" ref="AA10" si="9">IF($C10="","",$C10+8)</f>
        <v>45300</v>
      </c>
      <c r="AB10" s="8">
        <v>45300</v>
      </c>
      <c r="AC10" s="9">
        <f t="shared" ref="AC10:AC15" ca="1" si="10">IF($C10="","",IF(AB10="",TODAY()-AA10,AB10-AA10))</f>
        <v>0</v>
      </c>
      <c r="AD10" s="9" t="str">
        <f t="shared" ref="AD10:AD15" ca="1" si="11">IF($C10="","",IF(AND($C10&lt;&gt;"",AB10=""),IF(AA10=TODAY(),"VENCE HOJE",IF(AA10&lt;TODAY(),"ATRASADO","NO PRAZO")),IF(AB10&lt;=AA10,"NO PRAZO","ATRASADO")))</f>
        <v>NO PRAZO</v>
      </c>
      <c r="AE10" s="8"/>
    </row>
    <row r="11" spans="1:31" x14ac:dyDescent="0.3">
      <c r="B11" s="34" t="str">
        <f>IF(Tabela15[[#This Row],[DATA]],PROPER(TEXT(Tabela15[[#This Row],[DATA]],"mmm")),"")</f>
        <v>Jan</v>
      </c>
      <c r="C11" s="35">
        <v>45299</v>
      </c>
      <c r="D11" s="35" t="s">
        <v>80</v>
      </c>
      <c r="E11" s="36" t="s">
        <v>75</v>
      </c>
      <c r="F11" s="36" t="s">
        <v>24</v>
      </c>
      <c r="G11" s="44" t="s">
        <v>129</v>
      </c>
      <c r="H11" s="37" t="s">
        <v>76</v>
      </c>
      <c r="I11" s="36" t="s">
        <v>77</v>
      </c>
      <c r="J11" s="36" t="s">
        <v>78</v>
      </c>
      <c r="K11" s="9" t="s">
        <v>101</v>
      </c>
      <c r="L11" s="36" t="s">
        <v>79</v>
      </c>
      <c r="M11" s="36" t="s">
        <v>5</v>
      </c>
      <c r="N11" s="36" t="s">
        <v>29</v>
      </c>
      <c r="O11" s="35">
        <f t="shared" ref="O11:O21" si="12">IF($C11="","",$C11)</f>
        <v>45299</v>
      </c>
      <c r="P11" s="35">
        <v>45299</v>
      </c>
      <c r="Q11" s="36">
        <f t="shared" ca="1" si="1"/>
        <v>0</v>
      </c>
      <c r="R11" s="38" t="str">
        <f t="shared" ca="1" si="2"/>
        <v>NO PRAZO</v>
      </c>
      <c r="S11" s="35">
        <f>IF($C11="","",$C11+1)</f>
        <v>45300</v>
      </c>
      <c r="T11" s="35">
        <v>45300</v>
      </c>
      <c r="U11" s="36">
        <f t="shared" ca="1" si="4"/>
        <v>0</v>
      </c>
      <c r="V11" s="36" t="str">
        <f t="shared" ca="1" si="5"/>
        <v>NO PRAZO</v>
      </c>
      <c r="W11" s="35">
        <f>IF($C11="","",$C11+5)</f>
        <v>45304</v>
      </c>
      <c r="X11" s="35">
        <v>45304</v>
      </c>
      <c r="Y11" s="36">
        <f t="shared" ca="1" si="7"/>
        <v>0</v>
      </c>
      <c r="Z11" s="36" t="str">
        <f t="shared" ca="1" si="8"/>
        <v>NO PRAZO</v>
      </c>
      <c r="AA11" s="35">
        <f>IF($C11="","",$C11+8)</f>
        <v>45307</v>
      </c>
      <c r="AB11" s="35">
        <v>45307</v>
      </c>
      <c r="AC11" s="36">
        <f t="shared" ca="1" si="10"/>
        <v>0</v>
      </c>
      <c r="AD11" s="36" t="str">
        <f t="shared" ca="1" si="11"/>
        <v>NO PRAZO</v>
      </c>
      <c r="AE11" s="35"/>
    </row>
    <row r="12" spans="1:31" x14ac:dyDescent="0.3">
      <c r="B12" s="10" t="str">
        <f>IF(Tabela15[[#This Row],[DATA]],PROPER(TEXT(Tabela15[[#This Row],[DATA]],"mmm")),"")</f>
        <v>Jan</v>
      </c>
      <c r="C12" s="11">
        <v>45310</v>
      </c>
      <c r="D12" s="11" t="s">
        <v>99</v>
      </c>
      <c r="E12" s="12" t="s">
        <v>100</v>
      </c>
      <c r="F12" s="12" t="s">
        <v>24</v>
      </c>
      <c r="G12" s="44" t="s">
        <v>129</v>
      </c>
      <c r="H12" s="40" t="s">
        <v>98</v>
      </c>
      <c r="I12" s="12" t="s">
        <v>102</v>
      </c>
      <c r="J12" s="12" t="s">
        <v>103</v>
      </c>
      <c r="K12" s="9" t="s">
        <v>101</v>
      </c>
      <c r="L12" s="12" t="s">
        <v>104</v>
      </c>
      <c r="M12" s="12" t="s">
        <v>5</v>
      </c>
      <c r="N12" s="12" t="s">
        <v>29</v>
      </c>
      <c r="O12" s="11">
        <f t="shared" si="12"/>
        <v>45310</v>
      </c>
      <c r="P12" s="11">
        <v>45310</v>
      </c>
      <c r="Q12" s="12">
        <f t="shared" ca="1" si="1"/>
        <v>0</v>
      </c>
      <c r="R12" s="41" t="str">
        <f t="shared" ca="1" si="2"/>
        <v>NO PRAZO</v>
      </c>
      <c r="S12" s="11">
        <f>IF($C12="","",$C12+1)</f>
        <v>45311</v>
      </c>
      <c r="T12" s="11">
        <v>45311</v>
      </c>
      <c r="U12" s="12">
        <f t="shared" ca="1" si="4"/>
        <v>0</v>
      </c>
      <c r="V12" s="12" t="str">
        <f t="shared" ca="1" si="5"/>
        <v>NO PRAZO</v>
      </c>
      <c r="W12" s="11">
        <f>IF($C12="","",$C12+5)</f>
        <v>45315</v>
      </c>
      <c r="X12" s="11">
        <v>45315</v>
      </c>
      <c r="Y12" s="12">
        <f t="shared" ca="1" si="7"/>
        <v>0</v>
      </c>
      <c r="Z12" s="12" t="str">
        <f t="shared" ca="1" si="8"/>
        <v>NO PRAZO</v>
      </c>
      <c r="AA12" s="11">
        <f>IF($C12="","",$C12+8)</f>
        <v>45318</v>
      </c>
      <c r="AB12" s="11">
        <v>45318</v>
      </c>
      <c r="AC12" s="12">
        <f t="shared" ca="1" si="10"/>
        <v>0</v>
      </c>
      <c r="AD12" s="12" t="str">
        <f t="shared" ca="1" si="11"/>
        <v>NO PRAZO</v>
      </c>
      <c r="AE12" s="11"/>
    </row>
    <row r="13" spans="1:31" x14ac:dyDescent="0.3">
      <c r="B13" s="10" t="str">
        <f>IF(Tabela15[[#This Row],[DATA]],PROPER(TEXT(Tabela15[[#This Row],[DATA]],"mmm")),"")</f>
        <v>Jan</v>
      </c>
      <c r="C13" s="11">
        <v>45311</v>
      </c>
      <c r="D13" s="11" t="s">
        <v>105</v>
      </c>
      <c r="E13" s="12" t="s">
        <v>106</v>
      </c>
      <c r="F13" s="12" t="s">
        <v>24</v>
      </c>
      <c r="G13" s="44" t="s">
        <v>129</v>
      </c>
      <c r="H13" s="40" t="s">
        <v>107</v>
      </c>
      <c r="I13" s="12" t="s">
        <v>27</v>
      </c>
      <c r="J13" s="9" t="s">
        <v>88</v>
      </c>
      <c r="K13" s="9" t="s">
        <v>101</v>
      </c>
      <c r="L13" s="12" t="s">
        <v>26</v>
      </c>
      <c r="M13" s="12" t="s">
        <v>5</v>
      </c>
      <c r="N13" s="12" t="s">
        <v>29</v>
      </c>
      <c r="O13" s="11">
        <f t="shared" si="12"/>
        <v>45311</v>
      </c>
      <c r="P13" s="11">
        <v>45311</v>
      </c>
      <c r="Q13" s="12">
        <f t="shared" ca="1" si="1"/>
        <v>0</v>
      </c>
      <c r="R13" s="41" t="str">
        <f t="shared" ca="1" si="2"/>
        <v>NO PRAZO</v>
      </c>
      <c r="S13" s="11">
        <f>IF($C13="","",$C13+1)</f>
        <v>45312</v>
      </c>
      <c r="T13" s="11">
        <v>45312</v>
      </c>
      <c r="U13" s="12">
        <f t="shared" ca="1" si="4"/>
        <v>0</v>
      </c>
      <c r="V13" s="12" t="str">
        <f t="shared" ca="1" si="5"/>
        <v>NO PRAZO</v>
      </c>
      <c r="W13" s="11">
        <f>IF($C13="","",$C13+5)</f>
        <v>45316</v>
      </c>
      <c r="X13" s="11">
        <v>45316</v>
      </c>
      <c r="Y13" s="12">
        <f t="shared" ca="1" si="7"/>
        <v>0</v>
      </c>
      <c r="Z13" s="12" t="str">
        <f t="shared" ca="1" si="8"/>
        <v>NO PRAZO</v>
      </c>
      <c r="AA13" s="11">
        <f>IF($C13="","",$C13+8)</f>
        <v>45319</v>
      </c>
      <c r="AB13" s="11">
        <v>45319</v>
      </c>
      <c r="AC13" s="12">
        <f t="shared" ca="1" si="10"/>
        <v>0</v>
      </c>
      <c r="AD13" s="12" t="str">
        <f t="shared" ca="1" si="11"/>
        <v>NO PRAZO</v>
      </c>
      <c r="AE13" s="11"/>
    </row>
    <row r="14" spans="1:31" x14ac:dyDescent="0.3">
      <c r="B14" s="10" t="str">
        <f>IF(Tabela15[[#This Row],[DATA]],PROPER(TEXT(Tabela15[[#This Row],[DATA]],"mmm")),"")</f>
        <v>Jan</v>
      </c>
      <c r="C14" s="11">
        <v>45320</v>
      </c>
      <c r="D14" s="11" t="s">
        <v>108</v>
      </c>
      <c r="E14" s="12" t="s">
        <v>109</v>
      </c>
      <c r="F14" s="12" t="s">
        <v>84</v>
      </c>
      <c r="G14" s="12" t="s">
        <v>110</v>
      </c>
      <c r="H14" s="40" t="s">
        <v>111</v>
      </c>
      <c r="I14" s="12" t="s">
        <v>112</v>
      </c>
      <c r="J14" s="12" t="s">
        <v>113</v>
      </c>
      <c r="K14" s="9" t="s">
        <v>87</v>
      </c>
      <c r="L14" s="12" t="s">
        <v>93</v>
      </c>
      <c r="M14" s="12" t="s">
        <v>5</v>
      </c>
      <c r="N14" s="12" t="s">
        <v>29</v>
      </c>
      <c r="O14" s="11">
        <f t="shared" si="12"/>
        <v>45320</v>
      </c>
      <c r="P14" s="11">
        <v>45320</v>
      </c>
      <c r="Q14" s="12">
        <f t="shared" ca="1" si="1"/>
        <v>0</v>
      </c>
      <c r="R14" s="41" t="str">
        <f t="shared" ca="1" si="2"/>
        <v>NO PRAZO</v>
      </c>
      <c r="S14" s="11">
        <f>IF($C14="","",$C14+1)</f>
        <v>45321</v>
      </c>
      <c r="T14" s="11">
        <v>45321</v>
      </c>
      <c r="U14" s="12">
        <f t="shared" ca="1" si="4"/>
        <v>0</v>
      </c>
      <c r="V14" s="12" t="str">
        <f t="shared" ca="1" si="5"/>
        <v>NO PRAZO</v>
      </c>
      <c r="W14" s="11">
        <f>IF($C14="","",$C14+5)</f>
        <v>45325</v>
      </c>
      <c r="X14" s="11">
        <v>45325</v>
      </c>
      <c r="Y14" s="12">
        <f t="shared" ca="1" si="7"/>
        <v>0</v>
      </c>
      <c r="Z14" s="12" t="str">
        <f t="shared" ca="1" si="8"/>
        <v>NO PRAZO</v>
      </c>
      <c r="AA14" s="11">
        <f>IF($C14="","",$C14+8)</f>
        <v>45328</v>
      </c>
      <c r="AB14" s="11">
        <v>45328</v>
      </c>
      <c r="AC14" s="12">
        <f t="shared" ca="1" si="10"/>
        <v>0</v>
      </c>
      <c r="AD14" s="12" t="str">
        <f t="shared" ca="1" si="11"/>
        <v>NO PRAZO</v>
      </c>
      <c r="AE14" s="11"/>
    </row>
    <row r="15" spans="1:31" x14ac:dyDescent="0.3">
      <c r="B15" s="10" t="str">
        <f>IF(Tabela15[[#This Row],[DATA]],PROPER(TEXT(Tabela15[[#This Row],[DATA]],"mmm")),"")</f>
        <v>Fev</v>
      </c>
      <c r="C15" s="49">
        <v>45323</v>
      </c>
      <c r="D15" s="11" t="s">
        <v>119</v>
      </c>
      <c r="E15" s="46" t="s">
        <v>120</v>
      </c>
      <c r="F15" s="46" t="s">
        <v>115</v>
      </c>
      <c r="G15" s="46" t="s">
        <v>133</v>
      </c>
      <c r="H15" s="45" t="s">
        <v>121</v>
      </c>
      <c r="I15" s="46" t="s">
        <v>117</v>
      </c>
      <c r="J15" s="46" t="s">
        <v>25</v>
      </c>
      <c r="K15" s="9" t="s">
        <v>101</v>
      </c>
      <c r="L15" s="46" t="s">
        <v>26</v>
      </c>
      <c r="M15" s="46" t="s">
        <v>5</v>
      </c>
      <c r="N15" s="46" t="s">
        <v>29</v>
      </c>
      <c r="O15" s="11">
        <f t="shared" si="12"/>
        <v>45323</v>
      </c>
      <c r="P15" s="43">
        <v>45323</v>
      </c>
      <c r="Q15" s="12">
        <f t="shared" ca="1" si="1"/>
        <v>0</v>
      </c>
      <c r="R15" s="41" t="str">
        <f t="shared" ca="1" si="2"/>
        <v>NO PRAZO</v>
      </c>
      <c r="S15" s="11">
        <f>IF($C15="","",$C15+1)</f>
        <v>45324</v>
      </c>
      <c r="T15" s="43">
        <v>45324</v>
      </c>
      <c r="U15" s="12">
        <f t="shared" ca="1" si="4"/>
        <v>0</v>
      </c>
      <c r="V15" s="12" t="str">
        <f t="shared" ca="1" si="5"/>
        <v>NO PRAZO</v>
      </c>
      <c r="W15" s="11">
        <f>IF($C15="","",$C15+5)</f>
        <v>45328</v>
      </c>
      <c r="X15" s="43">
        <v>45328</v>
      </c>
      <c r="Y15" s="12">
        <f t="shared" ca="1" si="7"/>
        <v>0</v>
      </c>
      <c r="Z15" s="12" t="str">
        <f t="shared" ca="1" si="8"/>
        <v>NO PRAZO</v>
      </c>
      <c r="AA15" s="11">
        <f>IF($C15="","",$C15+8)</f>
        <v>45331</v>
      </c>
      <c r="AB15" s="43">
        <v>45331</v>
      </c>
      <c r="AC15" s="12">
        <f t="shared" ca="1" si="10"/>
        <v>0</v>
      </c>
      <c r="AD15" s="12" t="str">
        <f t="shared" ca="1" si="11"/>
        <v>NO PRAZO</v>
      </c>
      <c r="AE15" s="43"/>
    </row>
    <row r="16" spans="1:31" x14ac:dyDescent="0.3">
      <c r="B16" s="42" t="str">
        <f>IF(Tabela15[[#This Row],[DATA]],PROPER(TEXT(Tabela15[[#This Row],[DATA]],"mmm")),"")</f>
        <v>Fev</v>
      </c>
      <c r="C16" s="43">
        <v>45327</v>
      </c>
      <c r="D16" s="43" t="s">
        <v>123</v>
      </c>
      <c r="E16" s="44" t="s">
        <v>122</v>
      </c>
      <c r="F16" s="44" t="s">
        <v>84</v>
      </c>
      <c r="G16" s="44" t="s">
        <v>124</v>
      </c>
      <c r="H16" s="51" t="s">
        <v>125</v>
      </c>
      <c r="I16" s="44" t="s">
        <v>126</v>
      </c>
      <c r="J16" s="44" t="s">
        <v>113</v>
      </c>
      <c r="K16" s="9" t="s">
        <v>87</v>
      </c>
      <c r="L16" s="44" t="s">
        <v>93</v>
      </c>
      <c r="M16" s="44" t="s">
        <v>5</v>
      </c>
      <c r="N16" s="44" t="s">
        <v>29</v>
      </c>
      <c r="O16" s="43">
        <f t="shared" si="12"/>
        <v>45327</v>
      </c>
      <c r="P16" s="43">
        <v>45327</v>
      </c>
      <c r="Q16" s="44">
        <f t="shared" ca="1" si="1"/>
        <v>0</v>
      </c>
      <c r="R16" s="47" t="str">
        <f t="shared" ref="R16:R21" ca="1" si="13">IF($C16="","",IF(AND($C16&lt;&gt;"",P16=""),IF(O16=TODAY(),"VENCE HOJE",IF(O16&lt;TODAY(),"ATRASADO","NO PRAZO")),IF(P16&lt;=O16,"NO PRAZO","ATRASADO")))</f>
        <v>NO PRAZO</v>
      </c>
      <c r="S16" s="43">
        <f t="shared" ref="S16:S21" si="14">IF($C16="","",$C16+1)</f>
        <v>45328</v>
      </c>
      <c r="T16" s="43">
        <v>45328</v>
      </c>
      <c r="U16" s="44">
        <f t="shared" ref="U16:U21" ca="1" si="15">IF($C16="","",IF(T16="",TODAY()-S16,T16-S16))</f>
        <v>0</v>
      </c>
      <c r="V16" s="44" t="str">
        <f t="shared" ref="V16:V21" ca="1" si="16">IF($C16="","",IF(AND($C16&lt;&gt;"",T16=""),IF(S16=TODAY(),"VENCE HOJE",IF(S16&lt;TODAY(),"ATRASADO","NO PRAZO")),IF(T16&lt;=S16,"NO PRAZO","ATRASADO")))</f>
        <v>NO PRAZO</v>
      </c>
      <c r="W16" s="43">
        <f t="shared" ref="W16:W21" si="17">IF($C16="","",$C16+5)</f>
        <v>45332</v>
      </c>
      <c r="X16" s="43">
        <v>45332</v>
      </c>
      <c r="Y16" s="44">
        <f t="shared" ref="Y16:Y21" ca="1" si="18">IF($C16="","",IF(X16="",TODAY()-W16,X16-W16))</f>
        <v>0</v>
      </c>
      <c r="Z16" s="44" t="str">
        <f t="shared" ref="Z16:Z21" ca="1" si="19">IF($C16="","",IF(AND($C16&lt;&gt;"",X16=""),IF(W16=TODAY(),"VENCE HOJE",IF(W16&lt;TODAY(),"ATRASADO","NO PRAZO")),IF(X16&lt;=W16,"NO PRAZO","ATRASADO")))</f>
        <v>NO PRAZO</v>
      </c>
      <c r="AA16" s="43">
        <f t="shared" ref="AA16:AA21" si="20">IF($C16="","",$C16+8)</f>
        <v>45335</v>
      </c>
      <c r="AB16" s="43">
        <v>45335</v>
      </c>
      <c r="AC16" s="44">
        <f t="shared" ref="AC16:AC21" ca="1" si="21">IF($C16="","",IF(AB16="",TODAY()-AA16,AB16-AA16))</f>
        <v>0</v>
      </c>
      <c r="AD16" s="44" t="str">
        <f t="shared" ref="AD16:AD21" ca="1" si="22">IF($C16="","",IF(AND($C16&lt;&gt;"",AB16=""),IF(AA16=TODAY(),"VENCE HOJE",IF(AA16&lt;TODAY(),"ATRASADO","NO PRAZO")),IF(AB16&lt;=AA16,"NO PRAZO","ATRASADO")))</f>
        <v>NO PRAZO</v>
      </c>
      <c r="AE16" s="43"/>
    </row>
    <row r="17" spans="2:31" x14ac:dyDescent="0.3">
      <c r="B17" s="42" t="str">
        <f>IF(Tabela15[[#This Row],[DATA]],PROPER(TEXT(Tabela15[[#This Row],[DATA]],"mmm")),"")</f>
        <v>Fev</v>
      </c>
      <c r="C17" s="43">
        <v>45330</v>
      </c>
      <c r="D17" s="43" t="s">
        <v>127</v>
      </c>
      <c r="E17" s="44" t="s">
        <v>128</v>
      </c>
      <c r="F17" s="44" t="s">
        <v>24</v>
      </c>
      <c r="G17" s="44" t="s">
        <v>129</v>
      </c>
      <c r="H17" s="51" t="s">
        <v>130</v>
      </c>
      <c r="I17" s="44" t="s">
        <v>27</v>
      </c>
      <c r="J17" s="44" t="s">
        <v>26</v>
      </c>
      <c r="K17" s="9" t="s">
        <v>87</v>
      </c>
      <c r="L17" s="44" t="s">
        <v>26</v>
      </c>
      <c r="M17" s="44" t="s">
        <v>5</v>
      </c>
      <c r="N17" s="44" t="s">
        <v>29</v>
      </c>
      <c r="O17" s="43">
        <f t="shared" si="12"/>
        <v>45330</v>
      </c>
      <c r="P17" s="43">
        <v>45330</v>
      </c>
      <c r="Q17" s="44">
        <f t="shared" ca="1" si="1"/>
        <v>0</v>
      </c>
      <c r="R17" s="47" t="str">
        <f t="shared" ca="1" si="13"/>
        <v>NO PRAZO</v>
      </c>
      <c r="S17" s="43">
        <f t="shared" si="14"/>
        <v>45331</v>
      </c>
      <c r="T17" s="43">
        <v>45331</v>
      </c>
      <c r="U17" s="44">
        <f t="shared" ca="1" si="15"/>
        <v>0</v>
      </c>
      <c r="V17" s="44" t="str">
        <f t="shared" ca="1" si="16"/>
        <v>NO PRAZO</v>
      </c>
      <c r="W17" s="43">
        <f t="shared" si="17"/>
        <v>45335</v>
      </c>
      <c r="X17" s="43">
        <v>45335</v>
      </c>
      <c r="Y17" s="44">
        <f t="shared" ca="1" si="18"/>
        <v>0</v>
      </c>
      <c r="Z17" s="44" t="str">
        <f t="shared" ca="1" si="19"/>
        <v>NO PRAZO</v>
      </c>
      <c r="AA17" s="43">
        <f t="shared" si="20"/>
        <v>45338</v>
      </c>
      <c r="AB17" s="43">
        <v>45338</v>
      </c>
      <c r="AC17" s="44">
        <f t="shared" ca="1" si="21"/>
        <v>0</v>
      </c>
      <c r="AD17" s="44" t="str">
        <f t="shared" ca="1" si="22"/>
        <v>NO PRAZO</v>
      </c>
      <c r="AE17" s="43"/>
    </row>
    <row r="18" spans="2:31" x14ac:dyDescent="0.3">
      <c r="B18" s="42" t="str">
        <f>IF(Tabela15[[#This Row],[DATA]],PROPER(TEXT(Tabela15[[#This Row],[DATA]],"mmm")),"")</f>
        <v>Fev</v>
      </c>
      <c r="C18" s="43">
        <v>45335</v>
      </c>
      <c r="D18" s="43" t="s">
        <v>132</v>
      </c>
      <c r="E18" s="44" t="s">
        <v>131</v>
      </c>
      <c r="F18" s="44" t="s">
        <v>115</v>
      </c>
      <c r="G18" s="44" t="s">
        <v>129</v>
      </c>
      <c r="H18" s="51" t="s">
        <v>134</v>
      </c>
      <c r="I18" s="44" t="s">
        <v>117</v>
      </c>
      <c r="J18" s="44" t="s">
        <v>135</v>
      </c>
      <c r="K18" s="9" t="s">
        <v>101</v>
      </c>
      <c r="L18" s="44" t="s">
        <v>26</v>
      </c>
      <c r="M18" s="44" t="s">
        <v>5</v>
      </c>
      <c r="N18" s="44" t="s">
        <v>29</v>
      </c>
      <c r="O18" s="43">
        <f t="shared" si="12"/>
        <v>45335</v>
      </c>
      <c r="P18" s="43">
        <v>45335</v>
      </c>
      <c r="Q18" s="44">
        <f t="shared" ca="1" si="1"/>
        <v>0</v>
      </c>
      <c r="R18" s="47" t="str">
        <f t="shared" ca="1" si="13"/>
        <v>NO PRAZO</v>
      </c>
      <c r="S18" s="43">
        <f t="shared" si="14"/>
        <v>45336</v>
      </c>
      <c r="T18" s="43">
        <v>45336</v>
      </c>
      <c r="U18" s="44">
        <f t="shared" ca="1" si="15"/>
        <v>0</v>
      </c>
      <c r="V18" s="44" t="str">
        <f t="shared" ca="1" si="16"/>
        <v>NO PRAZO</v>
      </c>
      <c r="W18" s="43">
        <f t="shared" si="17"/>
        <v>45340</v>
      </c>
      <c r="X18" s="43">
        <v>45340</v>
      </c>
      <c r="Y18" s="44">
        <f t="shared" ca="1" si="18"/>
        <v>0</v>
      </c>
      <c r="Z18" s="44" t="str">
        <f t="shared" ca="1" si="19"/>
        <v>NO PRAZO</v>
      </c>
      <c r="AA18" s="43">
        <f t="shared" si="20"/>
        <v>45343</v>
      </c>
      <c r="AB18" s="43">
        <v>45343</v>
      </c>
      <c r="AC18" s="44">
        <f t="shared" ca="1" si="21"/>
        <v>0</v>
      </c>
      <c r="AD18" s="44" t="str">
        <f t="shared" ca="1" si="22"/>
        <v>NO PRAZO</v>
      </c>
      <c r="AE18" s="43"/>
    </row>
    <row r="19" spans="2:31" x14ac:dyDescent="0.3">
      <c r="B19" s="42" t="str">
        <f>IF(Tabela15[[#This Row],[DATA]],PROPER(TEXT(Tabela15[[#This Row],[DATA]],"mmm")),"")</f>
        <v>Fev</v>
      </c>
      <c r="C19" s="43">
        <v>45343</v>
      </c>
      <c r="D19" s="43" t="s">
        <v>149</v>
      </c>
      <c r="E19" s="44" t="s">
        <v>140</v>
      </c>
      <c r="F19" s="44" t="s">
        <v>115</v>
      </c>
      <c r="G19" s="44" t="s">
        <v>129</v>
      </c>
      <c r="H19" s="51" t="s">
        <v>141</v>
      </c>
      <c r="I19" s="44" t="s">
        <v>117</v>
      </c>
      <c r="J19" s="44" t="s">
        <v>142</v>
      </c>
      <c r="K19" s="9" t="s">
        <v>87</v>
      </c>
      <c r="L19" s="44" t="s">
        <v>79</v>
      </c>
      <c r="M19" s="44" t="s">
        <v>5</v>
      </c>
      <c r="N19" s="44" t="s">
        <v>29</v>
      </c>
      <c r="O19" s="43">
        <f t="shared" si="12"/>
        <v>45343</v>
      </c>
      <c r="P19" s="43">
        <v>45343</v>
      </c>
      <c r="Q19" s="44">
        <f t="shared" ca="1" si="1"/>
        <v>0</v>
      </c>
      <c r="R19" s="47" t="str">
        <f t="shared" ca="1" si="13"/>
        <v>NO PRAZO</v>
      </c>
      <c r="S19" s="43">
        <f t="shared" si="14"/>
        <v>45344</v>
      </c>
      <c r="T19" s="43">
        <v>45344</v>
      </c>
      <c r="U19" s="44">
        <f t="shared" ca="1" si="15"/>
        <v>0</v>
      </c>
      <c r="V19" s="44" t="str">
        <f t="shared" ca="1" si="16"/>
        <v>NO PRAZO</v>
      </c>
      <c r="W19" s="43">
        <f t="shared" si="17"/>
        <v>45348</v>
      </c>
      <c r="X19" s="43">
        <v>45348</v>
      </c>
      <c r="Y19" s="44">
        <f t="shared" ca="1" si="18"/>
        <v>0</v>
      </c>
      <c r="Z19" s="44" t="str">
        <f t="shared" ca="1" si="19"/>
        <v>NO PRAZO</v>
      </c>
      <c r="AA19" s="43">
        <f t="shared" si="20"/>
        <v>45351</v>
      </c>
      <c r="AB19" s="43">
        <v>45351</v>
      </c>
      <c r="AC19" s="44">
        <f t="shared" ca="1" si="21"/>
        <v>0</v>
      </c>
      <c r="AD19" s="44" t="str">
        <f t="shared" ca="1" si="22"/>
        <v>NO PRAZO</v>
      </c>
      <c r="AE19" s="43"/>
    </row>
    <row r="20" spans="2:31" x14ac:dyDescent="0.3">
      <c r="B20" s="42" t="str">
        <f>IF(Tabela15[[#This Row],[DATA]],PROPER(TEXT(Tabela15[[#This Row],[DATA]],"mmm")),"")</f>
        <v>Fev</v>
      </c>
      <c r="C20" s="43">
        <v>45336</v>
      </c>
      <c r="D20" s="43" t="s">
        <v>152</v>
      </c>
      <c r="E20" s="44" t="s">
        <v>153</v>
      </c>
      <c r="F20" s="44" t="s">
        <v>84</v>
      </c>
      <c r="G20" s="44" t="s">
        <v>129</v>
      </c>
      <c r="H20" s="51" t="s">
        <v>154</v>
      </c>
      <c r="I20" s="44" t="s">
        <v>155</v>
      </c>
      <c r="J20" s="44" t="s">
        <v>118</v>
      </c>
      <c r="K20" s="9" t="s">
        <v>87</v>
      </c>
      <c r="L20" s="44" t="s">
        <v>26</v>
      </c>
      <c r="M20" s="44" t="s">
        <v>5</v>
      </c>
      <c r="N20" s="44" t="s">
        <v>29</v>
      </c>
      <c r="O20" s="43">
        <f t="shared" si="12"/>
        <v>45336</v>
      </c>
      <c r="P20" s="43">
        <v>45336</v>
      </c>
      <c r="Q20" s="44">
        <f t="shared" ca="1" si="1"/>
        <v>0</v>
      </c>
      <c r="R20" s="47" t="str">
        <f t="shared" ca="1" si="13"/>
        <v>NO PRAZO</v>
      </c>
      <c r="S20" s="43">
        <f t="shared" si="14"/>
        <v>45337</v>
      </c>
      <c r="T20" s="43">
        <v>45337</v>
      </c>
      <c r="U20" s="44">
        <f t="shared" ca="1" si="15"/>
        <v>0</v>
      </c>
      <c r="V20" s="44" t="str">
        <f t="shared" ca="1" si="16"/>
        <v>NO PRAZO</v>
      </c>
      <c r="W20" s="43">
        <f t="shared" si="17"/>
        <v>45341</v>
      </c>
      <c r="X20" s="43">
        <v>45341</v>
      </c>
      <c r="Y20" s="44">
        <f t="shared" ca="1" si="18"/>
        <v>0</v>
      </c>
      <c r="Z20" s="44" t="str">
        <f t="shared" ca="1" si="19"/>
        <v>NO PRAZO</v>
      </c>
      <c r="AA20" s="43">
        <f t="shared" si="20"/>
        <v>45344</v>
      </c>
      <c r="AB20" s="43">
        <v>45344</v>
      </c>
      <c r="AC20" s="44">
        <f t="shared" ca="1" si="21"/>
        <v>0</v>
      </c>
      <c r="AD20" s="44" t="str">
        <f t="shared" ca="1" si="22"/>
        <v>NO PRAZO</v>
      </c>
      <c r="AE20" s="43"/>
    </row>
    <row r="21" spans="2:31" x14ac:dyDescent="0.3">
      <c r="B21" s="42" t="str">
        <f>IF(Tabela15[[#This Row],[DATA]],PROPER(TEXT(Tabela15[[#This Row],[DATA]],"mmm")),"")</f>
        <v>Mar</v>
      </c>
      <c r="C21" s="43">
        <v>45362</v>
      </c>
      <c r="D21" s="43" t="s">
        <v>162</v>
      </c>
      <c r="E21" s="44" t="s">
        <v>163</v>
      </c>
      <c r="F21" s="44" t="s">
        <v>24</v>
      </c>
      <c r="G21" s="44" t="s">
        <v>129</v>
      </c>
      <c r="H21" s="51" t="s">
        <v>164</v>
      </c>
      <c r="I21" s="44" t="s">
        <v>77</v>
      </c>
      <c r="J21" s="44" t="s">
        <v>165</v>
      </c>
      <c r="K21" s="9" t="s">
        <v>101</v>
      </c>
      <c r="L21" s="44" t="s">
        <v>79</v>
      </c>
      <c r="M21" s="44" t="s">
        <v>5</v>
      </c>
      <c r="N21" s="44" t="s">
        <v>29</v>
      </c>
      <c r="O21" s="43">
        <f t="shared" si="12"/>
        <v>45362</v>
      </c>
      <c r="P21" s="43">
        <v>45362</v>
      </c>
      <c r="Q21" s="44">
        <f t="shared" ca="1" si="1"/>
        <v>0</v>
      </c>
      <c r="R21" s="47" t="str">
        <f t="shared" ca="1" si="13"/>
        <v>NO PRAZO</v>
      </c>
      <c r="S21" s="43">
        <f t="shared" si="14"/>
        <v>45363</v>
      </c>
      <c r="T21" s="43">
        <v>45363</v>
      </c>
      <c r="U21" s="44">
        <f t="shared" ca="1" si="15"/>
        <v>0</v>
      </c>
      <c r="V21" s="44" t="str">
        <f t="shared" ca="1" si="16"/>
        <v>NO PRAZO</v>
      </c>
      <c r="W21" s="43">
        <f t="shared" si="17"/>
        <v>45367</v>
      </c>
      <c r="X21" s="43">
        <v>45367</v>
      </c>
      <c r="Y21" s="44">
        <f t="shared" ca="1" si="18"/>
        <v>0</v>
      </c>
      <c r="Z21" s="44" t="str">
        <f t="shared" ca="1" si="19"/>
        <v>NO PRAZO</v>
      </c>
      <c r="AA21" s="43">
        <f t="shared" si="20"/>
        <v>45370</v>
      </c>
      <c r="AB21" s="43">
        <v>45370</v>
      </c>
      <c r="AC21" s="44">
        <f t="shared" ca="1" si="21"/>
        <v>0</v>
      </c>
      <c r="AD21" s="44" t="str">
        <f t="shared" ca="1" si="22"/>
        <v>NO PRAZO</v>
      </c>
      <c r="AE21" s="43"/>
    </row>
    <row r="22" spans="2:31" x14ac:dyDescent="0.3">
      <c r="B22" s="48" t="str">
        <f>IF(Tabela15[[#This Row],[DATA]],PROPER(TEXT(Tabela15[[#This Row],[DATA]],"mmm")),"")</f>
        <v>Mar</v>
      </c>
      <c r="C22" s="49">
        <v>45363</v>
      </c>
      <c r="D22" s="49" t="s">
        <v>166</v>
      </c>
      <c r="E22" s="46" t="s">
        <v>167</v>
      </c>
      <c r="F22" s="46" t="s">
        <v>168</v>
      </c>
      <c r="G22" s="44" t="s">
        <v>129</v>
      </c>
      <c r="H22" s="45" t="s">
        <v>169</v>
      </c>
      <c r="I22" s="46" t="s">
        <v>170</v>
      </c>
      <c r="J22" s="46" t="s">
        <v>25</v>
      </c>
      <c r="K22" s="52" t="s">
        <v>101</v>
      </c>
      <c r="L22" s="46" t="s">
        <v>97</v>
      </c>
      <c r="M22" s="46" t="s">
        <v>5</v>
      </c>
      <c r="N22" s="46" t="s">
        <v>29</v>
      </c>
      <c r="O22" s="49">
        <f>IF($C22="","",$C22)</f>
        <v>45363</v>
      </c>
      <c r="P22" s="49">
        <v>45363</v>
      </c>
      <c r="Q22" s="46">
        <f ca="1">IF($C22="","",IF(P22="",TODAY()-O22,P22-O22))</f>
        <v>0</v>
      </c>
      <c r="R22" s="50" t="str">
        <f ca="1">IF($C22="","",IF(AND($C22&lt;&gt;"",P22=""),IF(O22=TODAY(),"VENCE HOJE",IF(O22&lt;TODAY(),"ATRASADO","NO PRAZO")),IF(P22&lt;=O22,"NO PRAZO","ATRASADO")))</f>
        <v>NO PRAZO</v>
      </c>
      <c r="S22" s="49">
        <f>IF($C22="","",$C22+1)</f>
        <v>45364</v>
      </c>
      <c r="T22" s="49">
        <v>45364</v>
      </c>
      <c r="U22" s="46">
        <f ca="1">IF($C22="","",IF(T22="",TODAY()-S22,T22-S22))</f>
        <v>0</v>
      </c>
      <c r="V22" s="46" t="str">
        <f ca="1">IF($C22="","",IF(AND($C22&lt;&gt;"",T22=""),IF(S22=TODAY(),"VENCE HOJE",IF(S22&lt;TODAY(),"ATRASADO","NO PRAZO")),IF(T22&lt;=S22,"NO PRAZO","ATRASADO")))</f>
        <v>NO PRAZO</v>
      </c>
      <c r="W22" s="49">
        <f>IF($C22="","",$C22+5)</f>
        <v>45368</v>
      </c>
      <c r="X22" s="49">
        <v>45368</v>
      </c>
      <c r="Y22" s="46">
        <f ca="1">IF($C22="","",IF(X22="",TODAY()-W22,X22-W22))</f>
        <v>0</v>
      </c>
      <c r="Z22" s="46" t="str">
        <f ca="1">IF($C22="","",IF(AND($C22&lt;&gt;"",X22=""),IF(W22=TODAY(),"VENCE HOJE",IF(W22&lt;TODAY(),"ATRASADO","NO PRAZO")),IF(X22&lt;=W22,"NO PRAZO","ATRASADO")))</f>
        <v>NO PRAZO</v>
      </c>
      <c r="AA22" s="49">
        <f>IF($C22="","",$C22+8)</f>
        <v>45371</v>
      </c>
      <c r="AB22" s="49">
        <v>45371</v>
      </c>
      <c r="AC22" s="46">
        <f ca="1">IF($C22="","",IF(AB22="",TODAY()-AA22,AB22-AA22))</f>
        <v>0</v>
      </c>
      <c r="AD22" s="46" t="str">
        <f ca="1">IF($C22="","",IF(AND($C22&lt;&gt;"",AB22=""),IF(AA22=TODAY(),"VENCE HOJE",IF(AA22&lt;TODAY(),"ATRASADO","NO PRAZO")),IF(AB22&lt;=AA22,"NO PRAZO","ATRASADO")))</f>
        <v>NO PRAZO</v>
      </c>
      <c r="AE22" s="49"/>
    </row>
    <row r="23" spans="2:31" x14ac:dyDescent="0.3">
      <c r="B23" s="48" t="str">
        <f>IF(Tabela15[[#This Row],[DATA]],PROPER(TEXT(Tabela15[[#This Row],[DATA]],"mmm")),"")</f>
        <v>Mar</v>
      </c>
      <c r="C23" s="49">
        <v>45364</v>
      </c>
      <c r="D23" s="49" t="s">
        <v>174</v>
      </c>
      <c r="E23" s="46" t="s">
        <v>173</v>
      </c>
      <c r="F23" s="46" t="s">
        <v>172</v>
      </c>
      <c r="G23" s="46" t="s">
        <v>129</v>
      </c>
      <c r="H23" s="45" t="s">
        <v>175</v>
      </c>
      <c r="I23" s="46" t="s">
        <v>176</v>
      </c>
      <c r="J23" s="46" t="s">
        <v>177</v>
      </c>
      <c r="K23" s="52" t="s">
        <v>101</v>
      </c>
      <c r="L23" s="46" t="s">
        <v>93</v>
      </c>
      <c r="M23" s="46" t="s">
        <v>5</v>
      </c>
      <c r="N23" s="46" t="s">
        <v>29</v>
      </c>
      <c r="O23" s="49">
        <f>IF($C23="","",$C23)</f>
        <v>45364</v>
      </c>
      <c r="P23" s="49">
        <v>45364</v>
      </c>
      <c r="Q23" s="46">
        <f ca="1">IF($C23="","",IF(P23="",TODAY()-O23,P23-O23))</f>
        <v>0</v>
      </c>
      <c r="R23" s="50" t="str">
        <f ca="1">IF($C23="","",IF(AND($C23&lt;&gt;"",P23=""),IF(O23=TODAY(),"VENCE HOJE",IF(O23&lt;TODAY(),"ATRASADO","NO PRAZO")),IF(P23&lt;=O23,"NO PRAZO","ATRASADO")))</f>
        <v>NO PRAZO</v>
      </c>
      <c r="S23" s="49">
        <f>IF($C23="","",$C23+1)</f>
        <v>45365</v>
      </c>
      <c r="T23" s="49">
        <v>45365</v>
      </c>
      <c r="U23" s="46">
        <f ca="1">IF($C23="","",IF(T23="",TODAY()-S23,T23-S23))</f>
        <v>0</v>
      </c>
      <c r="V23" s="46" t="str">
        <f ca="1">IF($C23="","",IF(AND($C23&lt;&gt;"",T23=""),IF(S23=TODAY(),"VENCE HOJE",IF(S23&lt;TODAY(),"ATRASADO","NO PRAZO")),IF(T23&lt;=S23,"NO PRAZO","ATRASADO")))</f>
        <v>NO PRAZO</v>
      </c>
      <c r="W23" s="49">
        <f>IF($C23="","",$C23+5)</f>
        <v>45369</v>
      </c>
      <c r="X23" s="49">
        <v>45369</v>
      </c>
      <c r="Y23" s="46">
        <f ca="1">IF($C23="","",IF(X23="",TODAY()-W23,X23-W23))</f>
        <v>0</v>
      </c>
      <c r="Z23" s="46" t="str">
        <f ca="1">IF($C23="","",IF(AND($C23&lt;&gt;"",X23=""),IF(W23=TODAY(),"VENCE HOJE",IF(W23&lt;TODAY(),"ATRASADO","NO PRAZO")),IF(X23&lt;=W23,"NO PRAZO","ATRASADO")))</f>
        <v>NO PRAZO</v>
      </c>
      <c r="AA23" s="49">
        <f>IF($C23="","",$C23+8)</f>
        <v>45372</v>
      </c>
      <c r="AB23" s="49">
        <v>45372</v>
      </c>
      <c r="AC23" s="46">
        <f ca="1">IF($C23="","",IF(AB23="",TODAY()-AA23,AB23-AA23))</f>
        <v>0</v>
      </c>
      <c r="AD23" s="46" t="str">
        <f ca="1">IF($C23="","",IF(AND($C23&lt;&gt;"",AB23=""),IF(AA23=TODAY(),"VENCE HOJE",IF(AA23&lt;TODAY(),"ATRASADO","NO PRAZO")),IF(AB23&lt;=AA23,"NO PRAZO","ATRASADO")))</f>
        <v>NO PRAZO</v>
      </c>
      <c r="AE23" s="49"/>
    </row>
    <row r="24" spans="2:31" x14ac:dyDescent="0.3">
      <c r="B24" s="48" t="str">
        <f>IF(Tabela15[[#This Row],[DATA]],PROPER(TEXT(Tabela15[[#This Row],[DATA]],"mmm")),"")</f>
        <v>Mar</v>
      </c>
      <c r="C24" s="49">
        <v>45368</v>
      </c>
      <c r="D24" s="49" t="s">
        <v>183</v>
      </c>
      <c r="E24" s="46" t="s">
        <v>184</v>
      </c>
      <c r="F24" s="46" t="s">
        <v>24</v>
      </c>
      <c r="G24" s="46" t="s">
        <v>129</v>
      </c>
      <c r="H24" s="45" t="s">
        <v>185</v>
      </c>
      <c r="I24" s="46" t="s">
        <v>27</v>
      </c>
      <c r="J24" s="46" t="s">
        <v>25</v>
      </c>
      <c r="K24" s="52" t="s">
        <v>101</v>
      </c>
      <c r="L24" s="46" t="s">
        <v>26</v>
      </c>
      <c r="M24" s="46" t="s">
        <v>5</v>
      </c>
      <c r="N24" s="46" t="s">
        <v>29</v>
      </c>
      <c r="O24" s="49">
        <f>IF($C24="","",$C24)</f>
        <v>45368</v>
      </c>
      <c r="P24" s="49">
        <v>45368</v>
      </c>
      <c r="Q24" s="46">
        <f ca="1">IF($C24="","",IF(P24="",TODAY()-O24,P24-O24))</f>
        <v>0</v>
      </c>
      <c r="R24" s="50" t="str">
        <f ca="1">IF($C24="","",IF(AND($C24&lt;&gt;"",P24=""),IF(O24=TODAY(),"VENCE HOJE",IF(O24&lt;TODAY(),"ATRASADO","NO PRAZO")),IF(P24&lt;=O24,"NO PRAZO","ATRASADO")))</f>
        <v>NO PRAZO</v>
      </c>
      <c r="S24" s="49">
        <f>IF($C24="","",$C24+1)</f>
        <v>45369</v>
      </c>
      <c r="T24" s="49">
        <v>45369</v>
      </c>
      <c r="U24" s="46">
        <f ca="1">IF($C24="","",IF(T24="",TODAY()-S24,T24-S24))</f>
        <v>0</v>
      </c>
      <c r="V24" s="46" t="str">
        <f ca="1">IF($C24="","",IF(AND($C24&lt;&gt;"",T24=""),IF(S24=TODAY(),"VENCE HOJE",IF(S24&lt;TODAY(),"ATRASADO","NO PRAZO")),IF(T24&lt;=S24,"NO PRAZO","ATRASADO")))</f>
        <v>NO PRAZO</v>
      </c>
      <c r="W24" s="49">
        <f>IF($C24="","",$C24+5)</f>
        <v>45373</v>
      </c>
      <c r="X24" s="49">
        <v>45373</v>
      </c>
      <c r="Y24" s="46">
        <f ca="1">IF($C24="","",IF(X24="",TODAY()-W24,X24-W24))</f>
        <v>0</v>
      </c>
      <c r="Z24" s="46" t="str">
        <f ca="1">IF($C24="","",IF(AND($C24&lt;&gt;"",X24=""),IF(W24=TODAY(),"VENCE HOJE",IF(W24&lt;TODAY(),"ATRASADO","NO PRAZO")),IF(X24&lt;=W24,"NO PRAZO","ATRASADO")))</f>
        <v>NO PRAZO</v>
      </c>
      <c r="AA24" s="49">
        <f>IF($C24="","",$C24+8)</f>
        <v>45376</v>
      </c>
      <c r="AB24" s="49">
        <v>45376</v>
      </c>
      <c r="AC24" s="46">
        <f ca="1">IF($C24="","",IF(AB24="",TODAY()-AA24,AB24-AA24))</f>
        <v>0</v>
      </c>
      <c r="AD24" s="46" t="str">
        <f ca="1">IF($C24="","",IF(AND($C24&lt;&gt;"",AB24=""),IF(AA24=TODAY(),"VENCE HOJE",IF(AA24&lt;TODAY(),"ATRASADO","NO PRAZO")),IF(AB24&lt;=AA24,"NO PRAZO","ATRASADO")))</f>
        <v>NO PRAZO</v>
      </c>
      <c r="AE24" s="49"/>
    </row>
    <row r="25" spans="2:31" x14ac:dyDescent="0.3">
      <c r="B25" s="42" t="str">
        <f>IF(Tabela15[[#This Row],[DATA]],PROPER(TEXT(Tabela15[[#This Row],[DATA]],"mmm")),"")</f>
        <v>Mar</v>
      </c>
      <c r="C25" s="43">
        <v>45365</v>
      </c>
      <c r="D25" s="43" t="s">
        <v>178</v>
      </c>
      <c r="E25" s="44" t="s">
        <v>6</v>
      </c>
      <c r="F25" s="44" t="s">
        <v>84</v>
      </c>
      <c r="G25" s="44" t="s">
        <v>147</v>
      </c>
      <c r="H25" s="51" t="s">
        <v>179</v>
      </c>
      <c r="I25" s="43" t="s">
        <v>178</v>
      </c>
      <c r="J25" s="44" t="s">
        <v>96</v>
      </c>
      <c r="K25" s="44" t="s">
        <v>87</v>
      </c>
      <c r="L25" s="44" t="s">
        <v>97</v>
      </c>
      <c r="M25" s="44" t="s">
        <v>5</v>
      </c>
      <c r="N25" s="44" t="s">
        <v>29</v>
      </c>
      <c r="O25" s="43">
        <f t="shared" ref="O25:O26" si="23">IF($C25="","",$C25)</f>
        <v>45365</v>
      </c>
      <c r="P25" s="43">
        <v>45365</v>
      </c>
      <c r="Q25" s="44">
        <f t="shared" ref="Q25:Q26" ca="1" si="24">IF($C25="","",IF(P25="",TODAY()-O25,P25-O25))</f>
        <v>0</v>
      </c>
      <c r="R25" s="47" t="str">
        <f t="shared" ref="R25:R26" ca="1" si="25">IF($C25="","",IF(AND($C25&lt;&gt;"",P25=""),IF(O25=TODAY(),"VENCE HOJE",IF(O25&lt;TODAY(),"ATRASADO","NO PRAZO")),IF(P25&lt;=O25,"NO PRAZO","ATRASADO")))</f>
        <v>NO PRAZO</v>
      </c>
      <c r="S25" s="43">
        <f t="shared" ref="S25:S26" si="26">IF($C25="","",$C25+1)</f>
        <v>45366</v>
      </c>
      <c r="T25" s="43">
        <v>45366</v>
      </c>
      <c r="U25" s="44">
        <f t="shared" ref="U25:U26" ca="1" si="27">IF($C25="","",IF(T25="",TODAY()-S25,T25-S25))</f>
        <v>0</v>
      </c>
      <c r="V25" s="44" t="str">
        <f t="shared" ref="V25:V26" ca="1" si="28">IF($C25="","",IF(AND($C25&lt;&gt;"",T25=""),IF(S25=TODAY(),"VENCE HOJE",IF(S25&lt;TODAY(),"ATRASADO","NO PRAZO")),IF(T25&lt;=S25,"NO PRAZO","ATRASADO")))</f>
        <v>NO PRAZO</v>
      </c>
      <c r="W25" s="43">
        <f t="shared" ref="W25:W26" si="29">IF($C25="","",$C25+5)</f>
        <v>45370</v>
      </c>
      <c r="X25" s="43">
        <v>45370</v>
      </c>
      <c r="Y25" s="44">
        <f t="shared" ref="Y25:Y26" ca="1" si="30">IF($C25="","",IF(X25="",TODAY()-W25,X25-W25))</f>
        <v>0</v>
      </c>
      <c r="Z25" s="44" t="str">
        <f t="shared" ref="Z25:Z26" ca="1" si="31">IF($C25="","",IF(AND($C25&lt;&gt;"",X25=""),IF(W25=TODAY(),"VENCE HOJE",IF(W25&lt;TODAY(),"ATRASADO","NO PRAZO")),IF(X25&lt;=W25,"NO PRAZO","ATRASADO")))</f>
        <v>NO PRAZO</v>
      </c>
      <c r="AA25" s="43">
        <f t="shared" ref="AA25:AA26" si="32">IF($C25="","",$C25+8)</f>
        <v>45373</v>
      </c>
      <c r="AB25" s="43">
        <v>45373</v>
      </c>
      <c r="AC25" s="44">
        <f t="shared" ref="AC25:AC26" ca="1" si="33">IF($C25="","",IF(AB25="",TODAY()-AA25,AB25-AA25))</f>
        <v>0</v>
      </c>
      <c r="AD25" s="44" t="str">
        <f t="shared" ref="AD25:AD26" ca="1" si="34">IF($C25="","",IF(AND($C25&lt;&gt;"",AB25=""),IF(AA25=TODAY(),"VENCE HOJE",IF(AA25&lt;TODAY(),"ATRASADO","NO PRAZO")),IF(AB25&lt;=AA25,"NO PRAZO","ATRASADO")))</f>
        <v>NO PRAZO</v>
      </c>
      <c r="AE25" s="43"/>
    </row>
    <row r="26" spans="2:31" x14ac:dyDescent="0.3">
      <c r="B26" s="48" t="str">
        <f>IF(Tabela15[[#This Row],[DATA]],PROPER(TEXT(Tabela15[[#This Row],[DATA]],"mmm")),"")</f>
        <v>Mar</v>
      </c>
      <c r="C26" s="53">
        <v>45377</v>
      </c>
      <c r="D26" s="53" t="s">
        <v>190</v>
      </c>
      <c r="E26" s="54" t="s">
        <v>191</v>
      </c>
      <c r="F26" s="54" t="s">
        <v>84</v>
      </c>
      <c r="G26" s="54" t="s">
        <v>192</v>
      </c>
      <c r="H26" s="55" t="s">
        <v>193</v>
      </c>
      <c r="I26" s="54" t="s">
        <v>155</v>
      </c>
      <c r="J26" s="54" t="s">
        <v>25</v>
      </c>
      <c r="K26" s="54" t="s">
        <v>87</v>
      </c>
      <c r="L26" s="54" t="s">
        <v>26</v>
      </c>
      <c r="M26" s="54" t="s">
        <v>5</v>
      </c>
      <c r="N26" s="54" t="s">
        <v>29</v>
      </c>
      <c r="O26" s="49">
        <f t="shared" si="23"/>
        <v>45377</v>
      </c>
      <c r="P26" s="11">
        <v>45377</v>
      </c>
      <c r="Q26" s="46">
        <f t="shared" ca="1" si="24"/>
        <v>0</v>
      </c>
      <c r="R26" s="50" t="str">
        <f t="shared" ca="1" si="25"/>
        <v>NO PRAZO</v>
      </c>
      <c r="S26" s="49">
        <f t="shared" si="26"/>
        <v>45378</v>
      </c>
      <c r="T26" s="49">
        <v>45378</v>
      </c>
      <c r="U26" s="46">
        <f t="shared" ca="1" si="27"/>
        <v>0</v>
      </c>
      <c r="V26" s="46" t="str">
        <f t="shared" ca="1" si="28"/>
        <v>NO PRAZO</v>
      </c>
      <c r="W26" s="49">
        <f t="shared" si="29"/>
        <v>45382</v>
      </c>
      <c r="X26" s="49">
        <v>45382</v>
      </c>
      <c r="Y26" s="46">
        <f t="shared" ca="1" si="30"/>
        <v>0</v>
      </c>
      <c r="Z26" s="46" t="str">
        <f t="shared" ca="1" si="31"/>
        <v>NO PRAZO</v>
      </c>
      <c r="AA26" s="49">
        <f t="shared" si="32"/>
        <v>45385</v>
      </c>
      <c r="AB26" s="49">
        <v>45385</v>
      </c>
      <c r="AC26" s="46">
        <f t="shared" ca="1" si="33"/>
        <v>0</v>
      </c>
      <c r="AD26" s="46" t="str">
        <f t="shared" ca="1" si="34"/>
        <v>NO PRAZO</v>
      </c>
      <c r="AE26" s="49"/>
    </row>
    <row r="27" spans="2:31" x14ac:dyDescent="0.3">
      <c r="B27" s="42" t="str">
        <f>IF(Tabela15[[#This Row],[DATA]],PROPER(TEXT(Tabela15[[#This Row],[DATA]],"mmm")),"")</f>
        <v>Mar</v>
      </c>
      <c r="C27" s="53">
        <v>45379</v>
      </c>
      <c r="D27" s="53" t="s">
        <v>194</v>
      </c>
      <c r="E27" s="54" t="s">
        <v>195</v>
      </c>
      <c r="F27" s="54" t="s">
        <v>24</v>
      </c>
      <c r="G27" s="54" t="s">
        <v>196</v>
      </c>
      <c r="H27" s="55" t="s">
        <v>197</v>
      </c>
      <c r="I27" s="54" t="s">
        <v>102</v>
      </c>
      <c r="J27" s="54" t="s">
        <v>198</v>
      </c>
      <c r="K27" s="54" t="s">
        <v>87</v>
      </c>
      <c r="L27" s="54" t="s">
        <v>104</v>
      </c>
      <c r="M27" s="54" t="s">
        <v>5</v>
      </c>
      <c r="N27" s="54" t="s">
        <v>29</v>
      </c>
      <c r="O27" s="43">
        <f t="shared" ref="O27:O30" si="35">IF($C27="","",$C27)</f>
        <v>45379</v>
      </c>
      <c r="P27" s="11">
        <v>45379</v>
      </c>
      <c r="Q27" s="44">
        <f t="shared" ref="Q27:Q30" ca="1" si="36">IF($C27="","",IF(P27="",TODAY()-O27,P27-O27))</f>
        <v>0</v>
      </c>
      <c r="R27" s="47" t="str">
        <f t="shared" ref="R27:R30" ca="1" si="37">IF($C27="","",IF(AND($C27&lt;&gt;"",P27=""),IF(O27=TODAY(),"VENCE HOJE",IF(O27&lt;TODAY(),"ATRASADO","NO PRAZO")),IF(P27&lt;=O27,"NO PRAZO","ATRASADO")))</f>
        <v>NO PRAZO</v>
      </c>
      <c r="S27" s="43">
        <f t="shared" ref="S27:S30" si="38">IF($C27="","",$C27+1)</f>
        <v>45380</v>
      </c>
      <c r="T27" s="43">
        <v>45380</v>
      </c>
      <c r="U27" s="44">
        <f t="shared" ref="U27:U30" ca="1" si="39">IF($C27="","",IF(T27="",TODAY()-S27,T27-S27))</f>
        <v>0</v>
      </c>
      <c r="V27" s="44" t="str">
        <f t="shared" ref="V27:V30" ca="1" si="40">IF($C27="","",IF(AND($C27&lt;&gt;"",T27=""),IF(S27=TODAY(),"VENCE HOJE",IF(S27&lt;TODAY(),"ATRASADO","NO PRAZO")),IF(T27&lt;=S27,"NO PRAZO","ATRASADO")))</f>
        <v>NO PRAZO</v>
      </c>
      <c r="W27" s="43">
        <f t="shared" ref="W27:W30" si="41">IF($C27="","",$C27+5)</f>
        <v>45384</v>
      </c>
      <c r="X27" s="43">
        <v>45384</v>
      </c>
      <c r="Y27" s="44">
        <f t="shared" ref="Y27:Y30" ca="1" si="42">IF($C27="","",IF(X27="",TODAY()-W27,X27-W27))</f>
        <v>0</v>
      </c>
      <c r="Z27" s="44" t="str">
        <f t="shared" ref="Z27:Z30" ca="1" si="43">IF($C27="","",IF(AND($C27&lt;&gt;"",X27=""),IF(W27=TODAY(),"VENCE HOJE",IF(W27&lt;TODAY(),"ATRASADO","NO PRAZO")),IF(X27&lt;=W27,"NO PRAZO","ATRASADO")))</f>
        <v>NO PRAZO</v>
      </c>
      <c r="AA27" s="43">
        <f t="shared" ref="AA27:AA30" si="44">IF($C27="","",$C27+8)</f>
        <v>45387</v>
      </c>
      <c r="AB27" s="43">
        <v>45387</v>
      </c>
      <c r="AC27" s="44">
        <f t="shared" ref="AC27:AC30" ca="1" si="45">IF($C27="","",IF(AB27="",TODAY()-AA27,AB27-AA27))</f>
        <v>0</v>
      </c>
      <c r="AD27" s="44" t="str">
        <f t="shared" ref="AD27:AD30" ca="1" si="46">IF($C27="","",IF(AND($C27&lt;&gt;"",AB27=""),IF(AA27=TODAY(),"VENCE HOJE",IF(AA27&lt;TODAY(),"ATRASADO","NO PRAZO")),IF(AB27&lt;=AA27,"NO PRAZO","ATRASADO")))</f>
        <v>NO PRAZO</v>
      </c>
      <c r="AE27" s="43"/>
    </row>
    <row r="28" spans="2:31" x14ac:dyDescent="0.3">
      <c r="B28" s="42" t="str">
        <f>IF(Tabela15[[#This Row],[DATA]],PROPER(TEXT(Tabela15[[#This Row],[DATA]],"mmm")),"")</f>
        <v>Mar</v>
      </c>
      <c r="C28" s="53">
        <v>45382</v>
      </c>
      <c r="D28" s="53" t="s">
        <v>199</v>
      </c>
      <c r="E28" s="54" t="s">
        <v>200</v>
      </c>
      <c r="F28" s="54" t="s">
        <v>84</v>
      </c>
      <c r="G28" s="54" t="s">
        <v>196</v>
      </c>
      <c r="H28" s="55" t="s">
        <v>201</v>
      </c>
      <c r="I28" s="54" t="s">
        <v>202</v>
      </c>
      <c r="J28" s="54" t="s">
        <v>203</v>
      </c>
      <c r="K28" s="54" t="s">
        <v>101</v>
      </c>
      <c r="L28" s="54" t="s">
        <v>79</v>
      </c>
      <c r="M28" s="54" t="s">
        <v>5</v>
      </c>
      <c r="N28" s="54" t="s">
        <v>29</v>
      </c>
      <c r="O28" s="43">
        <f t="shared" si="35"/>
        <v>45382</v>
      </c>
      <c r="P28" s="11">
        <v>45382</v>
      </c>
      <c r="Q28" s="44">
        <f t="shared" ca="1" si="36"/>
        <v>0</v>
      </c>
      <c r="R28" s="47" t="str">
        <f t="shared" ca="1" si="37"/>
        <v>NO PRAZO</v>
      </c>
      <c r="S28" s="43">
        <f t="shared" si="38"/>
        <v>45383</v>
      </c>
      <c r="T28" s="43">
        <v>45383</v>
      </c>
      <c r="U28" s="44">
        <f t="shared" ca="1" si="39"/>
        <v>0</v>
      </c>
      <c r="V28" s="44" t="str">
        <f t="shared" ca="1" si="40"/>
        <v>NO PRAZO</v>
      </c>
      <c r="W28" s="43">
        <f t="shared" si="41"/>
        <v>45387</v>
      </c>
      <c r="X28" s="43">
        <v>45387</v>
      </c>
      <c r="Y28" s="44">
        <f t="shared" ca="1" si="42"/>
        <v>0</v>
      </c>
      <c r="Z28" s="44" t="str">
        <f t="shared" ca="1" si="43"/>
        <v>NO PRAZO</v>
      </c>
      <c r="AA28" s="43">
        <f t="shared" si="44"/>
        <v>45390</v>
      </c>
      <c r="AB28" s="43">
        <v>45390</v>
      </c>
      <c r="AC28" s="44">
        <f t="shared" ca="1" si="45"/>
        <v>0</v>
      </c>
      <c r="AD28" s="44" t="str">
        <f t="shared" ca="1" si="46"/>
        <v>NO PRAZO</v>
      </c>
      <c r="AE28" s="43"/>
    </row>
    <row r="29" spans="2:31" x14ac:dyDescent="0.3">
      <c r="B29" s="42" t="str">
        <f>IF(Tabela15[[#This Row],[DATA]],PROPER(TEXT(Tabela15[[#This Row],[DATA]],"mmm")),"")</f>
        <v>Abr</v>
      </c>
      <c r="C29" s="53">
        <v>45383</v>
      </c>
      <c r="D29" s="53" t="s">
        <v>204</v>
      </c>
      <c r="E29" s="54" t="s">
        <v>83</v>
      </c>
      <c r="F29" s="54" t="s">
        <v>84</v>
      </c>
      <c r="G29" s="54" t="s">
        <v>196</v>
      </c>
      <c r="H29" s="55" t="s">
        <v>205</v>
      </c>
      <c r="I29" s="54" t="s">
        <v>86</v>
      </c>
      <c r="J29" s="54" t="s">
        <v>25</v>
      </c>
      <c r="K29" s="54" t="s">
        <v>87</v>
      </c>
      <c r="L29" s="54" t="s">
        <v>26</v>
      </c>
      <c r="M29" s="54" t="s">
        <v>5</v>
      </c>
      <c r="N29" s="54" t="s">
        <v>29</v>
      </c>
      <c r="O29" s="43">
        <f t="shared" si="35"/>
        <v>45383</v>
      </c>
      <c r="P29" s="11">
        <v>45383</v>
      </c>
      <c r="Q29" s="44">
        <f t="shared" ca="1" si="36"/>
        <v>0</v>
      </c>
      <c r="R29" s="47" t="str">
        <f t="shared" ca="1" si="37"/>
        <v>NO PRAZO</v>
      </c>
      <c r="S29" s="43">
        <f t="shared" si="38"/>
        <v>45384</v>
      </c>
      <c r="T29" s="43">
        <v>45384</v>
      </c>
      <c r="U29" s="44">
        <f t="shared" ca="1" si="39"/>
        <v>0</v>
      </c>
      <c r="V29" s="44" t="str">
        <f t="shared" ca="1" si="40"/>
        <v>NO PRAZO</v>
      </c>
      <c r="W29" s="43">
        <f t="shared" si="41"/>
        <v>45388</v>
      </c>
      <c r="X29" s="43">
        <v>45388</v>
      </c>
      <c r="Y29" s="44">
        <f t="shared" ca="1" si="42"/>
        <v>0</v>
      </c>
      <c r="Z29" s="44" t="str">
        <f t="shared" ca="1" si="43"/>
        <v>NO PRAZO</v>
      </c>
      <c r="AA29" s="43">
        <f t="shared" si="44"/>
        <v>45391</v>
      </c>
      <c r="AB29" s="43">
        <v>45391</v>
      </c>
      <c r="AC29" s="44">
        <f t="shared" ca="1" si="45"/>
        <v>0</v>
      </c>
      <c r="AD29" s="44" t="str">
        <f t="shared" ca="1" si="46"/>
        <v>NO PRAZO</v>
      </c>
      <c r="AE29" s="43"/>
    </row>
    <row r="30" spans="2:31" x14ac:dyDescent="0.3">
      <c r="B30" s="42" t="str">
        <f>IF(Tabela15[[#This Row],[DATA]],PROPER(TEXT(Tabela15[[#This Row],[DATA]],"mmm")),"")</f>
        <v>Abr</v>
      </c>
      <c r="C30" s="56">
        <v>45385</v>
      </c>
      <c r="D30" s="56" t="s">
        <v>206</v>
      </c>
      <c r="E30" s="57" t="s">
        <v>206</v>
      </c>
      <c r="F30" s="57" t="s">
        <v>24</v>
      </c>
      <c r="G30" s="54" t="s">
        <v>196</v>
      </c>
      <c r="H30" s="62" t="s">
        <v>207</v>
      </c>
      <c r="I30" s="57" t="s">
        <v>102</v>
      </c>
      <c r="J30" s="57" t="s">
        <v>208</v>
      </c>
      <c r="K30" s="59" t="s">
        <v>101</v>
      </c>
      <c r="L30" s="57" t="s">
        <v>104</v>
      </c>
      <c r="M30" s="57" t="s">
        <v>5</v>
      </c>
      <c r="N30" s="57" t="s">
        <v>29</v>
      </c>
      <c r="O30" s="43">
        <f t="shared" si="35"/>
        <v>45385</v>
      </c>
      <c r="P30" s="43">
        <v>45385</v>
      </c>
      <c r="Q30" s="44">
        <f t="shared" ca="1" si="36"/>
        <v>0</v>
      </c>
      <c r="R30" s="47" t="str">
        <f t="shared" ca="1" si="37"/>
        <v>NO PRAZO</v>
      </c>
      <c r="S30" s="43">
        <f t="shared" si="38"/>
        <v>45386</v>
      </c>
      <c r="T30" s="43">
        <v>45386</v>
      </c>
      <c r="U30" s="44">
        <f t="shared" ca="1" si="39"/>
        <v>0</v>
      </c>
      <c r="V30" s="44" t="str">
        <f t="shared" ca="1" si="40"/>
        <v>NO PRAZO</v>
      </c>
      <c r="W30" s="43">
        <f t="shared" si="41"/>
        <v>45390</v>
      </c>
      <c r="X30" s="43">
        <v>45390</v>
      </c>
      <c r="Y30" s="44">
        <f t="shared" ca="1" si="42"/>
        <v>0</v>
      </c>
      <c r="Z30" s="44" t="str">
        <f t="shared" ca="1" si="43"/>
        <v>NO PRAZO</v>
      </c>
      <c r="AA30" s="43">
        <f t="shared" si="44"/>
        <v>45393</v>
      </c>
      <c r="AB30" s="43">
        <v>45393</v>
      </c>
      <c r="AC30" s="44">
        <f t="shared" ca="1" si="45"/>
        <v>0</v>
      </c>
      <c r="AD30" s="44" t="str">
        <f t="shared" ca="1" si="46"/>
        <v>NO PRAZO</v>
      </c>
      <c r="AE30" s="43"/>
    </row>
    <row r="31" spans="2:31" x14ac:dyDescent="0.3">
      <c r="B31" s="48" t="str">
        <f>IF(Tabela15[[#This Row],[DATA]],PROPER(TEXT(Tabela15[[#This Row],[DATA]],"mmm")),"")</f>
        <v>Abr</v>
      </c>
      <c r="C31" s="49">
        <v>45387</v>
      </c>
      <c r="D31" s="49" t="s">
        <v>127</v>
      </c>
      <c r="E31" s="46" t="s">
        <v>128</v>
      </c>
      <c r="F31" s="46" t="s">
        <v>24</v>
      </c>
      <c r="G31" s="54" t="s">
        <v>196</v>
      </c>
      <c r="H31" s="58" t="s">
        <v>210</v>
      </c>
      <c r="I31" s="46" t="s">
        <v>27</v>
      </c>
      <c r="J31" s="46" t="s">
        <v>25</v>
      </c>
      <c r="K31" s="52" t="s">
        <v>101</v>
      </c>
      <c r="L31" s="57" t="s">
        <v>26</v>
      </c>
      <c r="M31" s="46" t="s">
        <v>5</v>
      </c>
      <c r="N31" s="46" t="s">
        <v>29</v>
      </c>
      <c r="O31" s="49">
        <f t="shared" ref="O31:O38" si="47">IF($C31="","",$C31)</f>
        <v>45387</v>
      </c>
      <c r="P31" s="49">
        <v>45387</v>
      </c>
      <c r="Q31" s="46">
        <f t="shared" ref="Q31:Q38" ca="1" si="48">IF($C31="","",IF(P31="",TODAY()-O31,P31-O31))</f>
        <v>0</v>
      </c>
      <c r="R31" s="50" t="str">
        <f t="shared" ref="R31:R38" ca="1" si="49">IF($C31="","",IF(AND($C31&lt;&gt;"",P31=""),IF(O31=TODAY(),"VENCE HOJE",IF(O31&lt;TODAY(),"ATRASADO","NO PRAZO")),IF(P31&lt;=O31,"NO PRAZO","ATRASADO")))</f>
        <v>NO PRAZO</v>
      </c>
      <c r="S31" s="49">
        <f t="shared" ref="S31:S38" si="50">IF($C31="","",$C31+1)</f>
        <v>45388</v>
      </c>
      <c r="T31" s="49">
        <v>45388</v>
      </c>
      <c r="U31" s="46">
        <f t="shared" ref="U31:U38" ca="1" si="51">IF($C31="","",IF(T31="",TODAY()-S31,T31-S31))</f>
        <v>0</v>
      </c>
      <c r="V31" s="46" t="str">
        <f t="shared" ref="V31:V38" ca="1" si="52">IF($C31="","",IF(AND($C31&lt;&gt;"",T31=""),IF(S31=TODAY(),"VENCE HOJE",IF(S31&lt;TODAY(),"ATRASADO","NO PRAZO")),IF(T31&lt;=S31,"NO PRAZO","ATRASADO")))</f>
        <v>NO PRAZO</v>
      </c>
      <c r="W31" s="49">
        <f t="shared" ref="W31:W38" si="53">IF($C31="","",$C31+5)</f>
        <v>45392</v>
      </c>
      <c r="X31" s="49">
        <v>45392</v>
      </c>
      <c r="Y31" s="46">
        <f t="shared" ref="Y31:Y38" ca="1" si="54">IF($C31="","",IF(X31="",TODAY()-W31,X31-W31))</f>
        <v>0</v>
      </c>
      <c r="Z31" s="46" t="str">
        <f t="shared" ref="Z31:Z38" ca="1" si="55">IF($C31="","",IF(AND($C31&lt;&gt;"",X31=""),IF(W31=TODAY(),"VENCE HOJE",IF(W31&lt;TODAY(),"ATRASADO","NO PRAZO")),IF(X31&lt;=W31,"NO PRAZO","ATRASADO")))</f>
        <v>NO PRAZO</v>
      </c>
      <c r="AA31" s="49">
        <f t="shared" ref="AA31:AA38" si="56">IF($C31="","",$C31+8)</f>
        <v>45395</v>
      </c>
      <c r="AB31" s="49"/>
      <c r="AC31" s="46">
        <f t="shared" ref="AC31:AC38" ca="1" si="57">IF($C31="","",IF(AB31="",TODAY()-AA31,AB31-AA31))</f>
        <v>926</v>
      </c>
      <c r="AD31" s="46" t="str">
        <f t="shared" ref="AD31:AD38" ca="1" si="58">IF($C31="","",IF(AND($C31&lt;&gt;"",AB31=""),IF(AA31=TODAY(),"VENCE HOJE",IF(AA31&lt;TODAY(),"ATRASADO","NO PRAZO")),IF(AB31&lt;=AA31,"NO PRAZO","ATRASADO")))</f>
        <v>ATRASADO</v>
      </c>
      <c r="AE31" s="49"/>
    </row>
    <row r="32" spans="2:31" x14ac:dyDescent="0.3">
      <c r="B32" s="48" t="str">
        <f>IF(Tabela15[[#This Row],[DATA]],PROPER(TEXT(Tabela15[[#This Row],[DATA]],"mmm")),"")</f>
        <v>Abr</v>
      </c>
      <c r="C32" s="49">
        <v>45405</v>
      </c>
      <c r="D32" s="49" t="s">
        <v>220</v>
      </c>
      <c r="E32" s="46" t="s">
        <v>216</v>
      </c>
      <c r="F32" s="46" t="s">
        <v>84</v>
      </c>
      <c r="G32" s="46" t="s">
        <v>217</v>
      </c>
      <c r="H32" s="45" t="s">
        <v>218</v>
      </c>
      <c r="I32" s="46" t="s">
        <v>219</v>
      </c>
      <c r="J32" s="46" t="s">
        <v>25</v>
      </c>
      <c r="K32" s="52" t="s">
        <v>87</v>
      </c>
      <c r="L32" s="57" t="s">
        <v>26</v>
      </c>
      <c r="M32" s="46" t="s">
        <v>5</v>
      </c>
      <c r="N32" s="46" t="s">
        <v>29</v>
      </c>
      <c r="O32" s="49">
        <f t="shared" si="47"/>
        <v>45405</v>
      </c>
      <c r="P32" s="49">
        <v>45405</v>
      </c>
      <c r="Q32" s="46">
        <f t="shared" ca="1" si="48"/>
        <v>0</v>
      </c>
      <c r="R32" s="50" t="str">
        <f t="shared" ca="1" si="49"/>
        <v>NO PRAZO</v>
      </c>
      <c r="S32" s="49">
        <f t="shared" si="50"/>
        <v>45406</v>
      </c>
      <c r="T32" s="49"/>
      <c r="U32" s="46">
        <f t="shared" ca="1" si="51"/>
        <v>915</v>
      </c>
      <c r="V32" s="46" t="str">
        <f t="shared" ca="1" si="52"/>
        <v>ATRASADO</v>
      </c>
      <c r="W32" s="49">
        <f t="shared" si="53"/>
        <v>45410</v>
      </c>
      <c r="X32" s="49"/>
      <c r="Y32" s="46">
        <f t="shared" ca="1" si="54"/>
        <v>911</v>
      </c>
      <c r="Z32" s="46" t="str">
        <f t="shared" ca="1" si="55"/>
        <v>ATRASADO</v>
      </c>
      <c r="AA32" s="49">
        <f t="shared" si="56"/>
        <v>45413</v>
      </c>
      <c r="AB32" s="49"/>
      <c r="AC32" s="46">
        <f t="shared" ca="1" si="57"/>
        <v>908</v>
      </c>
      <c r="AD32" s="46" t="str">
        <f t="shared" ca="1" si="58"/>
        <v>ATRASADO</v>
      </c>
      <c r="AE32" s="49"/>
    </row>
    <row r="33" spans="2:31" x14ac:dyDescent="0.3">
      <c r="B33" s="48" t="str">
        <f>IF(Tabela15[[#This Row],[DATA]],PROPER(TEXT(Tabela15[[#This Row],[DATA]],"mmm")),"")</f>
        <v>Abr</v>
      </c>
      <c r="C33" s="49">
        <v>45412</v>
      </c>
      <c r="D33" s="49" t="s">
        <v>226</v>
      </c>
      <c r="E33" s="46" t="s">
        <v>223</v>
      </c>
      <c r="F33" s="46" t="s">
        <v>222</v>
      </c>
      <c r="G33" s="46" t="s">
        <v>224</v>
      </c>
      <c r="H33" s="45" t="s">
        <v>225</v>
      </c>
      <c r="I33" s="46" t="s">
        <v>223</v>
      </c>
      <c r="J33" s="46" t="s">
        <v>96</v>
      </c>
      <c r="K33" s="52" t="s">
        <v>101</v>
      </c>
      <c r="L33" s="44" t="s">
        <v>97</v>
      </c>
      <c r="M33" s="46" t="s">
        <v>5</v>
      </c>
      <c r="N33" s="46" t="s">
        <v>29</v>
      </c>
      <c r="O33" s="49">
        <f t="shared" si="47"/>
        <v>45412</v>
      </c>
      <c r="P33" s="49">
        <v>45412</v>
      </c>
      <c r="Q33" s="46">
        <f t="shared" ca="1" si="48"/>
        <v>0</v>
      </c>
      <c r="R33" s="50" t="str">
        <f t="shared" ca="1" si="49"/>
        <v>NO PRAZO</v>
      </c>
      <c r="S33" s="49">
        <f t="shared" si="50"/>
        <v>45413</v>
      </c>
      <c r="T33" s="49"/>
      <c r="U33" s="46">
        <f t="shared" ca="1" si="51"/>
        <v>908</v>
      </c>
      <c r="V33" s="46" t="str">
        <f t="shared" ca="1" si="52"/>
        <v>ATRASADO</v>
      </c>
      <c r="W33" s="49">
        <f t="shared" si="53"/>
        <v>45417</v>
      </c>
      <c r="X33" s="49"/>
      <c r="Y33" s="46">
        <f t="shared" ca="1" si="54"/>
        <v>904</v>
      </c>
      <c r="Z33" s="46" t="str">
        <f t="shared" ca="1" si="55"/>
        <v>ATRASADO</v>
      </c>
      <c r="AA33" s="49">
        <f t="shared" si="56"/>
        <v>45420</v>
      </c>
      <c r="AB33" s="49"/>
      <c r="AC33" s="46">
        <f t="shared" ca="1" si="57"/>
        <v>901</v>
      </c>
      <c r="AD33" s="46" t="str">
        <f t="shared" ca="1" si="58"/>
        <v>ATRASADO</v>
      </c>
      <c r="AE33" s="49"/>
    </row>
    <row r="34" spans="2:31" x14ac:dyDescent="0.3">
      <c r="B34" s="7" t="s">
        <v>209</v>
      </c>
      <c r="C34" s="8">
        <v>45408</v>
      </c>
      <c r="D34" s="8" t="s">
        <v>238</v>
      </c>
      <c r="E34" s="9" t="s">
        <v>227</v>
      </c>
      <c r="F34" s="9" t="s">
        <v>84</v>
      </c>
      <c r="G34" s="9" t="s">
        <v>228</v>
      </c>
      <c r="H34" s="20" t="s">
        <v>229</v>
      </c>
      <c r="I34" s="9" t="s">
        <v>182</v>
      </c>
      <c r="J34" s="9" t="s">
        <v>25</v>
      </c>
      <c r="K34" s="60" t="s">
        <v>87</v>
      </c>
      <c r="L34" s="9" t="s">
        <v>26</v>
      </c>
      <c r="M34" s="9" t="s">
        <v>5</v>
      </c>
      <c r="N34" s="9" t="s">
        <v>29</v>
      </c>
      <c r="O34" s="8">
        <f t="shared" si="47"/>
        <v>45408</v>
      </c>
      <c r="P34" s="8">
        <v>45411</v>
      </c>
      <c r="Q34" s="9">
        <f t="shared" ca="1" si="48"/>
        <v>3</v>
      </c>
      <c r="R34" s="4" t="str">
        <f t="shared" ca="1" si="49"/>
        <v>ATRASADO</v>
      </c>
      <c r="S34" s="8">
        <f t="shared" si="50"/>
        <v>45409</v>
      </c>
      <c r="T34" s="8"/>
      <c r="U34" s="9">
        <f t="shared" ca="1" si="51"/>
        <v>912</v>
      </c>
      <c r="V34" s="9" t="str">
        <f t="shared" ca="1" si="52"/>
        <v>ATRASADO</v>
      </c>
      <c r="W34" s="8">
        <f t="shared" si="53"/>
        <v>45413</v>
      </c>
      <c r="X34" s="8"/>
      <c r="Y34" s="9">
        <f t="shared" ca="1" si="54"/>
        <v>908</v>
      </c>
      <c r="Z34" s="9" t="str">
        <f t="shared" ca="1" si="55"/>
        <v>ATRASADO</v>
      </c>
      <c r="AA34" s="8">
        <f t="shared" si="56"/>
        <v>45416</v>
      </c>
      <c r="AB34" s="8"/>
      <c r="AC34" s="9">
        <f t="shared" ca="1" si="57"/>
        <v>905</v>
      </c>
      <c r="AD34" s="9" t="str">
        <f t="shared" ca="1" si="58"/>
        <v>ATRASADO</v>
      </c>
      <c r="AE34" s="8"/>
    </row>
    <row r="35" spans="2:31" ht="15" customHeight="1" x14ac:dyDescent="0.3">
      <c r="B35" s="7" t="s">
        <v>230</v>
      </c>
      <c r="C35" s="8">
        <v>45435</v>
      </c>
      <c r="D35" s="8" t="s">
        <v>238</v>
      </c>
      <c r="E35" s="9" t="s">
        <v>227</v>
      </c>
      <c r="F35" s="9" t="s">
        <v>84</v>
      </c>
      <c r="G35" s="9" t="s">
        <v>228</v>
      </c>
      <c r="H35" s="61" t="s">
        <v>239</v>
      </c>
      <c r="I35" s="9" t="s">
        <v>86</v>
      </c>
      <c r="J35" s="9" t="s">
        <v>25</v>
      </c>
      <c r="K35" s="60" t="s">
        <v>101</v>
      </c>
      <c r="L35" s="9" t="s">
        <v>26</v>
      </c>
      <c r="M35" s="9" t="s">
        <v>5</v>
      </c>
      <c r="N35" s="9" t="s">
        <v>29</v>
      </c>
      <c r="O35" s="8">
        <f t="shared" si="47"/>
        <v>45435</v>
      </c>
      <c r="P35" s="8">
        <v>45435</v>
      </c>
      <c r="Q35" s="9">
        <f t="shared" ca="1" si="48"/>
        <v>0</v>
      </c>
      <c r="R35" s="4" t="str">
        <f t="shared" ca="1" si="49"/>
        <v>NO PRAZO</v>
      </c>
      <c r="S35" s="8">
        <f t="shared" si="50"/>
        <v>45436</v>
      </c>
      <c r="T35" s="8"/>
      <c r="U35" s="9">
        <f t="shared" ca="1" si="51"/>
        <v>885</v>
      </c>
      <c r="V35" s="9" t="str">
        <f t="shared" ca="1" si="52"/>
        <v>ATRASADO</v>
      </c>
      <c r="W35" s="8">
        <f t="shared" si="53"/>
        <v>45440</v>
      </c>
      <c r="X35" s="8"/>
      <c r="Y35" s="9">
        <f t="shared" ca="1" si="54"/>
        <v>881</v>
      </c>
      <c r="Z35" s="9" t="str">
        <f t="shared" ca="1" si="55"/>
        <v>ATRASADO</v>
      </c>
      <c r="AA35" s="8">
        <f t="shared" si="56"/>
        <v>45443</v>
      </c>
      <c r="AB35" s="8"/>
      <c r="AC35" s="9">
        <f t="shared" ca="1" si="57"/>
        <v>878</v>
      </c>
      <c r="AD35" s="9" t="str">
        <f t="shared" ca="1" si="58"/>
        <v>ATRASADO</v>
      </c>
      <c r="AE35" s="8"/>
    </row>
    <row r="36" spans="2:31" x14ac:dyDescent="0.3">
      <c r="B36" s="7" t="s">
        <v>244</v>
      </c>
      <c r="C36" s="8">
        <v>45456</v>
      </c>
      <c r="D36" s="8" t="s">
        <v>247</v>
      </c>
      <c r="E36" s="9" t="s">
        <v>248</v>
      </c>
      <c r="F36" s="9" t="s">
        <v>24</v>
      </c>
      <c r="G36" s="9" t="s">
        <v>228</v>
      </c>
      <c r="H36" s="20" t="s">
        <v>249</v>
      </c>
      <c r="I36" s="9" t="s">
        <v>27</v>
      </c>
      <c r="J36" s="9" t="s">
        <v>135</v>
      </c>
      <c r="K36" s="60" t="s">
        <v>87</v>
      </c>
      <c r="L36" s="9" t="s">
        <v>26</v>
      </c>
      <c r="M36" s="9" t="s">
        <v>5</v>
      </c>
      <c r="N36" s="9" t="s">
        <v>29</v>
      </c>
      <c r="O36" s="8">
        <f t="shared" si="47"/>
        <v>45456</v>
      </c>
      <c r="P36" s="8">
        <v>45458</v>
      </c>
      <c r="Q36" s="9">
        <f t="shared" ca="1" si="48"/>
        <v>2</v>
      </c>
      <c r="R36" s="4" t="str">
        <f t="shared" ca="1" si="49"/>
        <v>ATRASADO</v>
      </c>
      <c r="S36" s="8">
        <f t="shared" si="50"/>
        <v>45457</v>
      </c>
      <c r="T36" s="8">
        <v>45458</v>
      </c>
      <c r="U36" s="9">
        <f t="shared" ca="1" si="51"/>
        <v>1</v>
      </c>
      <c r="V36" s="9" t="str">
        <f t="shared" ca="1" si="52"/>
        <v>ATRASADO</v>
      </c>
      <c r="W36" s="8">
        <f t="shared" si="53"/>
        <v>45461</v>
      </c>
      <c r="X36" s="8">
        <v>45461</v>
      </c>
      <c r="Y36" s="9">
        <f t="shared" ca="1" si="54"/>
        <v>0</v>
      </c>
      <c r="Z36" s="9" t="str">
        <f t="shared" ca="1" si="55"/>
        <v>NO PRAZO</v>
      </c>
      <c r="AA36" s="8">
        <f t="shared" si="56"/>
        <v>45464</v>
      </c>
      <c r="AB36" s="8"/>
      <c r="AC36" s="9">
        <f t="shared" ca="1" si="57"/>
        <v>857</v>
      </c>
      <c r="AD36" s="9" t="str">
        <f t="shared" ca="1" si="58"/>
        <v>ATRASADO</v>
      </c>
      <c r="AE36" s="8"/>
    </row>
    <row r="37" spans="2:31" x14ac:dyDescent="0.3">
      <c r="B37" s="7" t="str">
        <f>IF(Tabela15[[#This Row],[DATA]],PROPER(TEXT(Tabela15[[#This Row],[DATA]],"mmm")),"")</f>
        <v/>
      </c>
      <c r="C37" s="8"/>
      <c r="D37" s="8"/>
      <c r="E37" s="9"/>
      <c r="F37" s="9"/>
      <c r="G37" s="9"/>
      <c r="H37" s="20"/>
      <c r="I37" s="9"/>
      <c r="J37" s="9"/>
      <c r="K37" s="60"/>
      <c r="L37" s="9"/>
      <c r="M37" s="9"/>
      <c r="N37" s="9"/>
      <c r="O37" s="8" t="str">
        <f t="shared" si="47"/>
        <v/>
      </c>
      <c r="P37" s="8"/>
      <c r="Q37" s="9" t="str">
        <f t="shared" ca="1" si="48"/>
        <v/>
      </c>
      <c r="R37" s="4" t="str">
        <f t="shared" ca="1" si="49"/>
        <v/>
      </c>
      <c r="S37" s="8" t="str">
        <f t="shared" si="50"/>
        <v/>
      </c>
      <c r="T37" s="8"/>
      <c r="U37" s="9" t="str">
        <f t="shared" ca="1" si="51"/>
        <v/>
      </c>
      <c r="V37" s="9" t="str">
        <f t="shared" ca="1" si="52"/>
        <v/>
      </c>
      <c r="W37" s="8" t="str">
        <f t="shared" si="53"/>
        <v/>
      </c>
      <c r="X37" s="8"/>
      <c r="Y37" s="9" t="str">
        <f t="shared" ca="1" si="54"/>
        <v/>
      </c>
      <c r="Z37" s="9" t="str">
        <f t="shared" ca="1" si="55"/>
        <v/>
      </c>
      <c r="AA37" s="8" t="str">
        <f t="shared" si="56"/>
        <v/>
      </c>
      <c r="AB37" s="8"/>
      <c r="AC37" s="9" t="str">
        <f t="shared" ca="1" si="57"/>
        <v/>
      </c>
      <c r="AD37" s="9" t="str">
        <f t="shared" ca="1" si="58"/>
        <v/>
      </c>
      <c r="AE37" s="8"/>
    </row>
    <row r="38" spans="2:31" x14ac:dyDescent="0.3">
      <c r="B38" s="48"/>
      <c r="C38" s="49"/>
      <c r="D38" s="49"/>
      <c r="E38" s="46"/>
      <c r="F38" s="46"/>
      <c r="G38" s="46"/>
      <c r="H38" s="45"/>
      <c r="I38" s="46"/>
      <c r="J38" s="46"/>
      <c r="K38" s="52"/>
      <c r="L38" s="44"/>
      <c r="M38" s="46"/>
      <c r="N38" s="46"/>
      <c r="O38" s="49" t="str">
        <f t="shared" si="47"/>
        <v/>
      </c>
      <c r="P38" s="49"/>
      <c r="Q38" s="46" t="str">
        <f t="shared" ca="1" si="48"/>
        <v/>
      </c>
      <c r="R38" s="50" t="str">
        <f t="shared" ca="1" si="49"/>
        <v/>
      </c>
      <c r="S38" s="49" t="str">
        <f t="shared" si="50"/>
        <v/>
      </c>
      <c r="T38" s="49"/>
      <c r="U38" s="46" t="str">
        <f t="shared" ca="1" si="51"/>
        <v/>
      </c>
      <c r="V38" s="46" t="str">
        <f t="shared" ca="1" si="52"/>
        <v/>
      </c>
      <c r="W38" s="49" t="str">
        <f t="shared" si="53"/>
        <v/>
      </c>
      <c r="X38" s="49"/>
      <c r="Y38" s="46" t="str">
        <f t="shared" ca="1" si="54"/>
        <v/>
      </c>
      <c r="Z38" s="46" t="str">
        <f t="shared" ca="1" si="55"/>
        <v/>
      </c>
      <c r="AA38" s="49" t="str">
        <f t="shared" si="56"/>
        <v/>
      </c>
      <c r="AB38" s="49"/>
      <c r="AC38" s="46" t="str">
        <f t="shared" ca="1" si="57"/>
        <v/>
      </c>
      <c r="AD38" s="46" t="str">
        <f t="shared" ca="1" si="58"/>
        <v/>
      </c>
      <c r="AE38" s="49"/>
    </row>
  </sheetData>
  <mergeCells count="17">
    <mergeCell ref="C2:E2"/>
    <mergeCell ref="G2:I2"/>
    <mergeCell ref="J2:N2"/>
    <mergeCell ref="O2:R8"/>
    <mergeCell ref="C3:E7"/>
    <mergeCell ref="G3:I3"/>
    <mergeCell ref="J3:N3"/>
    <mergeCell ref="G4:I4"/>
    <mergeCell ref="J4:N4"/>
    <mergeCell ref="G5:I5"/>
    <mergeCell ref="J5:N5"/>
    <mergeCell ref="F6:N6"/>
    <mergeCell ref="F7:N7"/>
    <mergeCell ref="W2:Z8"/>
    <mergeCell ref="AA2:AD8"/>
    <mergeCell ref="AE2:AE8"/>
    <mergeCell ref="S2:V8"/>
  </mergeCells>
  <conditionalFormatting sqref="L10:L25">
    <cfRule type="containsText" dxfId="47" priority="29" operator="containsText" text="PDS">
      <formula>NOT(ISERROR(SEARCH("PDS",L10)))</formula>
    </cfRule>
    <cfRule type="containsText" dxfId="46" priority="30" operator="containsText" text="BCB">
      <formula>NOT(ISERROR(SEARCH("BCB",L10)))</formula>
    </cfRule>
    <cfRule type="containsText" dxfId="45" priority="31" operator="containsText" text="ITM">
      <formula>NOT(ISERROR(SEARCH("ITM",L10)))</formula>
    </cfRule>
    <cfRule type="containsText" dxfId="44" priority="32" operator="containsText" text="PDT">
      <formula>NOT(ISERROR(SEARCH("PDT",L10)))</formula>
    </cfRule>
    <cfRule type="containsText" dxfId="43" priority="33" operator="containsText" text="STI">
      <formula>NOT(ISERROR(SEARCH("STI",L10)))</formula>
    </cfRule>
  </conditionalFormatting>
  <conditionalFormatting sqref="L25">
    <cfRule type="containsText" dxfId="42" priority="21" operator="containsText" text="PDT">
      <formula>NOT(ISERROR(SEARCH("PDT",L25)))</formula>
    </cfRule>
    <cfRule type="containsText" dxfId="41" priority="22" operator="containsText" text="STI">
      <formula>NOT(ISERROR(SEARCH("STI",L25)))</formula>
    </cfRule>
  </conditionalFormatting>
  <conditionalFormatting sqref="L25:L38">
    <cfRule type="containsText" dxfId="40" priority="13" operator="containsText" text="PDS">
      <formula>NOT(ISERROR(SEARCH("PDS",L25)))</formula>
    </cfRule>
    <cfRule type="containsText" dxfId="39" priority="14" operator="containsText" text="BCB">
      <formula>NOT(ISERROR(SEARCH("BCB",L25)))</formula>
    </cfRule>
    <cfRule type="containsText" dxfId="38" priority="15" operator="containsText" text="ITM">
      <formula>NOT(ISERROR(SEARCH("ITM",L25)))</formula>
    </cfRule>
  </conditionalFormatting>
  <conditionalFormatting sqref="L26:L32">
    <cfRule type="containsText" dxfId="37" priority="11" operator="containsText" text="PDT">
      <formula>NOT(ISERROR(SEARCH("PDT",L26)))</formula>
    </cfRule>
    <cfRule type="containsText" dxfId="36" priority="12" operator="containsText" text="STI">
      <formula>NOT(ISERROR(SEARCH("STI",L26)))</formula>
    </cfRule>
    <cfRule type="containsText" dxfId="35" priority="16" operator="containsText" text="PDT">
      <formula>NOT(ISERROR(SEARCH("PDT",L26)))</formula>
    </cfRule>
    <cfRule type="containsText" dxfId="34" priority="17" operator="containsText" text="STI">
      <formula>NOT(ISERROR(SEARCH("STI",L26)))</formula>
    </cfRule>
  </conditionalFormatting>
  <conditionalFormatting sqref="L26:L38">
    <cfRule type="containsText" dxfId="33" priority="3" operator="containsText" text="PDS">
      <formula>NOT(ISERROR(SEARCH("PDS",L26)))</formula>
    </cfRule>
    <cfRule type="containsText" dxfId="32" priority="4" operator="containsText" text="BCB">
      <formula>NOT(ISERROR(SEARCH("BCB",L26)))</formula>
    </cfRule>
    <cfRule type="containsText" dxfId="31" priority="5" operator="containsText" text="ITM">
      <formula>NOT(ISERROR(SEARCH("ITM",L26)))</formula>
    </cfRule>
  </conditionalFormatting>
  <conditionalFormatting sqref="L33:L38">
    <cfRule type="containsText" dxfId="30" priority="1" operator="containsText" text="PDT">
      <formula>NOT(ISERROR(SEARCH("PDT",L33)))</formula>
    </cfRule>
    <cfRule type="containsText" dxfId="29" priority="2" operator="containsText" text="STI">
      <formula>NOT(ISERROR(SEARCH("STI",L33)))</formula>
    </cfRule>
    <cfRule type="containsText" dxfId="28" priority="6" operator="containsText" text="PDT">
      <formula>NOT(ISERROR(SEARCH("PDT",L33)))</formula>
    </cfRule>
    <cfRule type="containsText" dxfId="27" priority="7" operator="containsText" text="STI">
      <formula>NOT(ISERROR(SEARCH("STI",L33)))</formula>
    </cfRule>
  </conditionalFormatting>
  <conditionalFormatting sqref="R1:R1048576">
    <cfRule type="cellIs" dxfId="26" priority="26" operator="equal">
      <formula>"VENCE HOJE"</formula>
    </cfRule>
    <cfRule type="cellIs" dxfId="25" priority="27" operator="equal">
      <formula>"NO PRAZO"</formula>
    </cfRule>
    <cfRule type="cellIs" dxfId="24" priority="28" operator="equal">
      <formula>"ATRASADO"</formula>
    </cfRule>
  </conditionalFormatting>
  <conditionalFormatting sqref="V1:V1048576 Z1:Z1048576 AD1:AD1048576">
    <cfRule type="cellIs" dxfId="23" priority="23" operator="equal">
      <formula>"NO PRAZO"</formula>
    </cfRule>
    <cfRule type="cellIs" dxfId="22" priority="24" operator="equal">
      <formula>"VENCE HOJE"</formula>
    </cfRule>
    <cfRule type="cellIs" dxfId="21" priority="25" operator="equal">
      <formula>"ATRASADO"</formula>
    </cfRule>
  </conditionalFormatting>
  <dataValidations count="3">
    <dataValidation type="list" allowBlank="1" showInputMessage="1" showErrorMessage="1" sqref="M10:M24" xr:uid="{00000000-0002-0000-0300-000000000000}">
      <formula1>"LEVE, MÉDIO, GRAVE, FATAL"</formula1>
    </dataValidation>
    <dataValidation type="list" allowBlank="1" showInputMessage="1" showErrorMessage="1" sqref="N10:N38" xr:uid="{00000000-0002-0000-0300-000001000000}">
      <formula1>"SEM AFASTAMENTO,COM AFASTAMENTO,FATAL"</formula1>
    </dataValidation>
    <dataValidation type="list" allowBlank="1" showInputMessage="1" showErrorMessage="1" sqref="M25:M30" xr:uid="{79A06A96-95A3-4439-848E-BC6ED6178659}">
      <formula1>"LEVE,GRAVE, FATAL"</formula1>
    </dataValidation>
  </dataValidations>
  <pageMargins left="0.511811024" right="0.511811024" top="0.78740157499999996" bottom="0.78740157499999996" header="0.31496062000000002" footer="0.31496062000000002"/>
  <pageSetup paperSize="9" scale="17"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1:N31"/>
  <sheetViews>
    <sheetView showGridLines="0" zoomScale="85" zoomScaleNormal="85" workbookViewId="0">
      <selection activeCell="I11" sqref="I11"/>
    </sheetView>
  </sheetViews>
  <sheetFormatPr defaultColWidth="10.88671875" defaultRowHeight="14.4" x14ac:dyDescent="0.3"/>
  <cols>
    <col min="1" max="1" width="0.5546875" style="14" customWidth="1"/>
    <col min="2" max="2" width="1.44140625" style="14" customWidth="1"/>
    <col min="3" max="3" width="12.44140625" style="14" bestFit="1" customWidth="1"/>
    <col min="4" max="4" width="15.109375" style="14" customWidth="1"/>
    <col min="5" max="5" width="19.44140625" style="14" bestFit="1" customWidth="1"/>
    <col min="6" max="6" width="14.88671875" style="14" bestFit="1" customWidth="1"/>
    <col min="7" max="7" width="16" style="14" bestFit="1" customWidth="1"/>
    <col min="8" max="9" width="20.44140625" style="14" customWidth="1"/>
    <col min="10" max="10" width="20.33203125" style="14" bestFit="1" customWidth="1"/>
    <col min="11" max="11" width="16.5546875" style="14" customWidth="1"/>
    <col min="12" max="12" width="15.5546875" style="14" customWidth="1"/>
    <col min="13" max="13" width="18.33203125" style="14" bestFit="1" customWidth="1"/>
    <col min="14" max="14" width="28.44140625" style="14" customWidth="1"/>
    <col min="15" max="15" width="40.6640625" style="14" bestFit="1" customWidth="1"/>
    <col min="16" max="16" width="35.44140625" style="14" bestFit="1" customWidth="1"/>
    <col min="17" max="17" width="48" style="14" bestFit="1" customWidth="1"/>
    <col min="18" max="18" width="70.5546875" style="14" bestFit="1" customWidth="1"/>
    <col min="19" max="16384" width="10.88671875" style="14"/>
  </cols>
  <sheetData>
    <row r="1" spans="1:14" ht="3" customHeight="1" x14ac:dyDescent="0.3">
      <c r="A1" s="1"/>
      <c r="B1" s="13"/>
      <c r="C1" s="2"/>
      <c r="D1" s="2"/>
      <c r="E1" s="2"/>
      <c r="F1" s="2"/>
      <c r="G1" s="2"/>
      <c r="H1" s="2"/>
      <c r="I1" s="2"/>
      <c r="J1" s="2"/>
      <c r="K1" s="2"/>
      <c r="L1" s="2"/>
      <c r="M1" s="2"/>
    </row>
    <row r="2" spans="1:14" x14ac:dyDescent="0.3">
      <c r="A2" s="1"/>
      <c r="B2" s="13"/>
      <c r="C2" s="172" t="s">
        <v>19</v>
      </c>
      <c r="D2" s="174"/>
      <c r="E2" s="24"/>
      <c r="F2" s="3" t="s">
        <v>8</v>
      </c>
      <c r="G2" s="172" t="s">
        <v>10</v>
      </c>
      <c r="H2" s="174"/>
      <c r="I2" s="172" t="s">
        <v>12</v>
      </c>
      <c r="J2" s="173"/>
      <c r="K2" s="173"/>
      <c r="L2" s="174"/>
    </row>
    <row r="3" spans="1:14" x14ac:dyDescent="0.3">
      <c r="A3" s="1"/>
      <c r="B3" s="13"/>
      <c r="C3" s="163"/>
      <c r="D3" s="165"/>
      <c r="E3" s="25"/>
      <c r="F3" s="4" t="s">
        <v>9</v>
      </c>
      <c r="G3" s="175" t="s">
        <v>11</v>
      </c>
      <c r="H3" s="177"/>
      <c r="I3" s="175" t="s">
        <v>67</v>
      </c>
      <c r="J3" s="176"/>
      <c r="K3" s="176"/>
      <c r="L3" s="177"/>
    </row>
    <row r="4" spans="1:14" x14ac:dyDescent="0.3">
      <c r="A4" s="1"/>
      <c r="B4" s="13"/>
      <c r="C4" s="166"/>
      <c r="D4" s="168"/>
      <c r="E4" s="26"/>
      <c r="F4" s="3" t="s">
        <v>14</v>
      </c>
      <c r="G4" s="172" t="s">
        <v>16</v>
      </c>
      <c r="H4" s="174"/>
      <c r="I4" s="172" t="s">
        <v>17</v>
      </c>
      <c r="J4" s="173"/>
      <c r="K4" s="173"/>
      <c r="L4" s="174"/>
    </row>
    <row r="5" spans="1:14" x14ac:dyDescent="0.3">
      <c r="A5" s="1"/>
      <c r="B5" s="13"/>
      <c r="C5" s="166"/>
      <c r="D5" s="168"/>
      <c r="E5" s="26"/>
      <c r="F5" s="4" t="s">
        <v>15</v>
      </c>
      <c r="G5" s="175">
        <v>0</v>
      </c>
      <c r="H5" s="177"/>
      <c r="I5" s="180">
        <f ca="1">TODAY()</f>
        <v>46321</v>
      </c>
      <c r="J5" s="181"/>
      <c r="K5" s="181"/>
      <c r="L5" s="182"/>
    </row>
    <row r="6" spans="1:14" x14ac:dyDescent="0.3">
      <c r="A6" s="1"/>
      <c r="B6" s="13"/>
      <c r="C6" s="166"/>
      <c r="D6" s="168"/>
      <c r="E6" s="2"/>
      <c r="F6" s="172" t="s">
        <v>18</v>
      </c>
      <c r="G6" s="173"/>
      <c r="H6" s="173"/>
      <c r="I6" s="173"/>
      <c r="J6" s="173"/>
      <c r="K6" s="173"/>
      <c r="L6" s="173"/>
      <c r="M6" s="174"/>
    </row>
    <row r="7" spans="1:14" x14ac:dyDescent="0.3">
      <c r="A7" s="1"/>
      <c r="B7" s="13"/>
      <c r="C7" s="169"/>
      <c r="D7" s="171"/>
      <c r="E7" s="27"/>
      <c r="F7" s="175" t="s">
        <v>66</v>
      </c>
      <c r="G7" s="176"/>
      <c r="H7" s="176"/>
      <c r="I7" s="176"/>
      <c r="J7" s="176"/>
      <c r="K7" s="176"/>
      <c r="L7" s="176"/>
      <c r="M7" s="177"/>
    </row>
    <row r="8" spans="1:14" x14ac:dyDescent="0.3">
      <c r="A8" s="1"/>
      <c r="B8" s="13"/>
      <c r="C8" s="13"/>
      <c r="D8" s="13"/>
      <c r="E8" s="13"/>
      <c r="F8" s="13"/>
      <c r="G8" s="13"/>
      <c r="H8" s="13"/>
      <c r="I8" s="13"/>
      <c r="J8" s="13"/>
      <c r="K8" s="13"/>
      <c r="L8" s="13"/>
      <c r="M8" s="13"/>
    </row>
    <row r="9" spans="1:14" x14ac:dyDescent="0.3">
      <c r="A9" s="1"/>
      <c r="C9" s="5" t="s">
        <v>30</v>
      </c>
      <c r="D9" s="6" t="s">
        <v>0</v>
      </c>
      <c r="E9" s="6" t="s">
        <v>68</v>
      </c>
      <c r="F9" s="6" t="s">
        <v>1</v>
      </c>
      <c r="G9" s="6" t="s">
        <v>2</v>
      </c>
      <c r="H9" s="6" t="s">
        <v>7</v>
      </c>
      <c r="I9" s="6" t="s">
        <v>71</v>
      </c>
      <c r="J9" s="6" t="s">
        <v>6</v>
      </c>
      <c r="K9" s="6" t="s">
        <v>3</v>
      </c>
      <c r="L9" s="6" t="s">
        <v>31</v>
      </c>
      <c r="M9" s="6" t="s">
        <v>4</v>
      </c>
      <c r="N9" s="16" t="s">
        <v>28</v>
      </c>
    </row>
    <row r="10" spans="1:14" x14ac:dyDescent="0.3">
      <c r="A10" s="1"/>
      <c r="C10" s="7" t="str">
        <f>IF(Tabela134[[#This Row],[DATA]],PROPER(TEXT(Tabela134[[#This Row],[DATA]],"mmm")),"")</f>
        <v/>
      </c>
      <c r="D10" s="8"/>
      <c r="E10" s="8"/>
      <c r="F10" s="9"/>
      <c r="G10" s="9"/>
      <c r="H10" s="9"/>
      <c r="I10" s="9"/>
      <c r="J10" s="9"/>
      <c r="K10" s="9"/>
      <c r="L10" s="9"/>
      <c r="M10" s="9"/>
      <c r="N10" s="9"/>
    </row>
    <row r="11" spans="1:14" x14ac:dyDescent="0.3">
      <c r="A11" s="1"/>
      <c r="C11" s="7" t="str">
        <f>IF(Tabela134[[#This Row],[DATA]],PROPER(TEXT(Tabela134[[#This Row],[DATA]],"mmm")),"")</f>
        <v/>
      </c>
      <c r="D11" s="8"/>
      <c r="E11" s="8"/>
      <c r="F11" s="9"/>
      <c r="G11" s="9"/>
      <c r="H11" s="9"/>
      <c r="I11" s="9"/>
      <c r="J11" s="9"/>
      <c r="K11" s="9"/>
      <c r="L11" s="9"/>
      <c r="M11" s="9"/>
      <c r="N11" s="9"/>
    </row>
    <row r="12" spans="1:14" x14ac:dyDescent="0.3">
      <c r="A12" s="1"/>
      <c r="C12" s="7" t="str">
        <f>IF(Tabela134[[#This Row],[DATA]],PROPER(TEXT(Tabela134[[#This Row],[DATA]],"mmm")),"")</f>
        <v/>
      </c>
      <c r="D12" s="8"/>
      <c r="E12" s="8"/>
      <c r="F12" s="9"/>
      <c r="G12" s="9"/>
      <c r="H12" s="9"/>
      <c r="I12" s="9"/>
      <c r="J12" s="9"/>
      <c r="K12" s="9"/>
      <c r="L12" s="9"/>
      <c r="M12" s="9"/>
      <c r="N12" s="15"/>
    </row>
    <row r="13" spans="1:14" x14ac:dyDescent="0.3">
      <c r="A13" s="1"/>
      <c r="C13" s="7" t="str">
        <f>IF(Tabela134[[#This Row],[DATA]],PROPER(TEXT(Tabela134[[#This Row],[DATA]],"mmm")),"")</f>
        <v/>
      </c>
      <c r="D13" s="8"/>
      <c r="E13" s="8"/>
      <c r="F13" s="9"/>
      <c r="G13" s="9"/>
      <c r="H13" s="9"/>
      <c r="I13" s="9"/>
      <c r="J13" s="9"/>
      <c r="K13" s="9"/>
      <c r="L13" s="9"/>
      <c r="M13" s="9"/>
      <c r="N13" s="9"/>
    </row>
    <row r="14" spans="1:14" x14ac:dyDescent="0.3">
      <c r="A14" s="1"/>
      <c r="C14" s="7" t="str">
        <f>IF(Tabela134[[#This Row],[DATA]],PROPER(TEXT(Tabela134[[#This Row],[DATA]],"mmm")),"")</f>
        <v/>
      </c>
      <c r="D14" s="8"/>
      <c r="E14" s="8"/>
      <c r="F14" s="9"/>
      <c r="G14" s="9"/>
      <c r="H14" s="9"/>
      <c r="I14" s="9"/>
      <c r="J14" s="9"/>
      <c r="K14" s="9"/>
      <c r="L14" s="9"/>
      <c r="M14" s="9"/>
      <c r="N14" s="9"/>
    </row>
    <row r="15" spans="1:14" x14ac:dyDescent="0.3">
      <c r="A15" s="1"/>
      <c r="C15" s="7" t="str">
        <f>IF(Tabela134[[#This Row],[DATA]],PROPER(TEXT(Tabela134[[#This Row],[DATA]],"mmm")),"")</f>
        <v/>
      </c>
      <c r="D15" s="8"/>
      <c r="E15" s="8"/>
      <c r="F15" s="9"/>
      <c r="G15" s="9"/>
      <c r="H15" s="9"/>
      <c r="I15" s="9"/>
      <c r="J15" s="9"/>
      <c r="K15" s="9"/>
      <c r="L15" s="9"/>
      <c r="M15" s="9"/>
      <c r="N15" s="9"/>
    </row>
    <row r="16" spans="1:14" x14ac:dyDescent="0.3">
      <c r="A16" s="1"/>
      <c r="C16" s="7" t="str">
        <f>IF(Tabela134[[#This Row],[DATA]],PROPER(TEXT(Tabela134[[#This Row],[DATA]],"mmm")),"")</f>
        <v/>
      </c>
      <c r="D16" s="8"/>
      <c r="E16" s="8"/>
      <c r="F16" s="9"/>
      <c r="G16" s="9"/>
      <c r="H16" s="9"/>
      <c r="I16" s="9"/>
      <c r="J16" s="9"/>
      <c r="K16" s="9"/>
      <c r="L16" s="9"/>
      <c r="M16" s="9"/>
      <c r="N16" s="9"/>
    </row>
    <row r="17" spans="1:14" x14ac:dyDescent="0.3">
      <c r="A17" s="1"/>
      <c r="C17" s="7" t="str">
        <f>IF(Tabela134[[#This Row],[DATA]],PROPER(TEXT(Tabela134[[#This Row],[DATA]],"mmm")),"")</f>
        <v/>
      </c>
      <c r="D17" s="8"/>
      <c r="E17" s="8"/>
      <c r="F17" s="9"/>
      <c r="G17" s="9"/>
      <c r="H17" s="9"/>
      <c r="I17" s="9"/>
      <c r="J17" s="9"/>
      <c r="K17" s="9"/>
      <c r="L17" s="9"/>
      <c r="M17" s="9"/>
      <c r="N17" s="9"/>
    </row>
    <row r="18" spans="1:14" x14ac:dyDescent="0.3">
      <c r="A18" s="1"/>
      <c r="C18" s="7" t="str">
        <f>IF(Tabela134[[#This Row],[DATA]],PROPER(TEXT(Tabela134[[#This Row],[DATA]],"mmm")),"")</f>
        <v/>
      </c>
      <c r="D18" s="8"/>
      <c r="E18" s="8"/>
      <c r="F18" s="9"/>
      <c r="G18" s="9"/>
      <c r="H18" s="9"/>
      <c r="I18" s="9"/>
      <c r="J18" s="9"/>
      <c r="K18" s="9"/>
      <c r="L18" s="9"/>
      <c r="M18" s="9"/>
      <c r="N18" s="9"/>
    </row>
    <row r="19" spans="1:14" x14ac:dyDescent="0.3">
      <c r="A19" s="1"/>
      <c r="C19" s="7" t="str">
        <f>IF(Tabela134[[#This Row],[DATA]],PROPER(TEXT(Tabela134[[#This Row],[DATA]],"mmm")),"")</f>
        <v/>
      </c>
      <c r="D19" s="8"/>
      <c r="E19" s="8"/>
      <c r="F19" s="9"/>
      <c r="G19" s="9"/>
      <c r="H19" s="9"/>
      <c r="I19" s="9"/>
      <c r="J19" s="9"/>
      <c r="K19" s="9"/>
      <c r="L19" s="9"/>
      <c r="M19" s="9"/>
      <c r="N19" s="9"/>
    </row>
    <row r="20" spans="1:14" x14ac:dyDescent="0.3">
      <c r="A20" s="1"/>
      <c r="C20" s="7" t="str">
        <f>IF(Tabela134[[#This Row],[DATA]],PROPER(TEXT(Tabela134[[#This Row],[DATA]],"mmm")),"")</f>
        <v/>
      </c>
      <c r="D20" s="8"/>
      <c r="E20" s="8"/>
      <c r="F20" s="9"/>
      <c r="G20" s="9"/>
      <c r="H20" s="9"/>
      <c r="I20" s="9"/>
      <c r="J20" s="9"/>
      <c r="K20" s="9"/>
      <c r="L20" s="9"/>
      <c r="M20" s="9"/>
      <c r="N20" s="9"/>
    </row>
    <row r="21" spans="1:14" x14ac:dyDescent="0.3">
      <c r="A21" s="1"/>
      <c r="C21" s="7" t="str">
        <f>IF(Tabela134[[#This Row],[DATA]],PROPER(TEXT(Tabela134[[#This Row],[DATA]],"mmm")),"")</f>
        <v/>
      </c>
      <c r="D21" s="8"/>
      <c r="E21" s="8"/>
      <c r="F21" s="9"/>
      <c r="G21" s="9"/>
      <c r="H21" s="9"/>
      <c r="I21" s="9"/>
      <c r="J21" s="9"/>
      <c r="K21" s="9"/>
      <c r="L21" s="9"/>
      <c r="M21" s="9"/>
      <c r="N21" s="9"/>
    </row>
    <row r="22" spans="1:14" x14ac:dyDescent="0.3">
      <c r="A22" s="1"/>
      <c r="C22" s="7" t="str">
        <f>IF(Tabela134[[#This Row],[DATA]],PROPER(TEXT(Tabela134[[#This Row],[DATA]],"mmm")),"")</f>
        <v/>
      </c>
      <c r="D22" s="8"/>
      <c r="E22" s="8"/>
      <c r="F22" s="9"/>
      <c r="G22" s="9"/>
      <c r="H22" s="9"/>
      <c r="I22" s="9"/>
      <c r="J22" s="9"/>
      <c r="K22" s="9"/>
      <c r="L22" s="9"/>
      <c r="M22" s="9"/>
      <c r="N22" s="9"/>
    </row>
    <row r="23" spans="1:14" x14ac:dyDescent="0.3">
      <c r="A23" s="1"/>
      <c r="C23" s="7" t="str">
        <f>IF(Tabela134[[#This Row],[DATA]],PROPER(TEXT(Tabela134[[#This Row],[DATA]],"mmm")),"")</f>
        <v/>
      </c>
      <c r="D23" s="8"/>
      <c r="E23" s="8"/>
      <c r="F23" s="9"/>
      <c r="G23" s="9"/>
      <c r="H23" s="9"/>
      <c r="I23" s="9"/>
      <c r="J23" s="9"/>
      <c r="K23" s="9"/>
      <c r="L23" s="9"/>
      <c r="M23" s="9"/>
      <c r="N23" s="9"/>
    </row>
    <row r="24" spans="1:14" x14ac:dyDescent="0.3">
      <c r="A24" s="1"/>
      <c r="C24" s="7" t="str">
        <f>IF(Tabela134[[#This Row],[DATA]],PROPER(TEXT(Tabela134[[#This Row],[DATA]],"mmm")),"")</f>
        <v/>
      </c>
      <c r="D24" s="8"/>
      <c r="E24" s="8"/>
      <c r="F24" s="9"/>
      <c r="G24" s="9"/>
      <c r="H24" s="9"/>
      <c r="I24" s="9"/>
      <c r="J24" s="9"/>
      <c r="K24" s="9"/>
      <c r="L24" s="9"/>
      <c r="M24" s="9"/>
      <c r="N24" s="9"/>
    </row>
    <row r="25" spans="1:14" x14ac:dyDescent="0.3">
      <c r="A25" s="1"/>
      <c r="C25" s="7" t="str">
        <f>IF(Tabela134[[#This Row],[DATA]],PROPER(TEXT(Tabela134[[#This Row],[DATA]],"mmm")),"")</f>
        <v/>
      </c>
      <c r="D25" s="8"/>
      <c r="E25" s="8"/>
      <c r="F25" s="9"/>
      <c r="G25" s="9"/>
      <c r="H25" s="9"/>
      <c r="I25" s="9"/>
      <c r="J25" s="9"/>
      <c r="K25" s="9"/>
      <c r="L25" s="9"/>
      <c r="M25" s="9"/>
      <c r="N25" s="9"/>
    </row>
    <row r="26" spans="1:14" x14ac:dyDescent="0.3">
      <c r="A26" s="1"/>
      <c r="C26" s="7" t="str">
        <f>IF(Tabela134[[#This Row],[DATA]],PROPER(TEXT(Tabela134[[#This Row],[DATA]],"mmm")),"")</f>
        <v/>
      </c>
      <c r="D26" s="8"/>
      <c r="E26" s="8"/>
      <c r="F26" s="9"/>
      <c r="G26" s="9"/>
      <c r="H26" s="9"/>
      <c r="I26" s="9"/>
      <c r="J26" s="9"/>
      <c r="K26" s="9"/>
      <c r="L26" s="9"/>
      <c r="M26" s="9"/>
      <c r="N26" s="9"/>
    </row>
    <row r="27" spans="1:14" x14ac:dyDescent="0.3">
      <c r="A27" s="1"/>
      <c r="C27" s="7" t="str">
        <f>IF(Tabela134[[#This Row],[DATA]],PROPER(TEXT(Tabela134[[#This Row],[DATA]],"mmm")),"")</f>
        <v/>
      </c>
      <c r="D27" s="8"/>
      <c r="E27" s="8"/>
      <c r="F27" s="9"/>
      <c r="G27" s="9"/>
      <c r="H27" s="9"/>
      <c r="I27" s="9"/>
      <c r="J27" s="9"/>
      <c r="K27" s="9"/>
      <c r="L27" s="9"/>
      <c r="M27" s="9"/>
      <c r="N27" s="9"/>
    </row>
    <row r="28" spans="1:14" x14ac:dyDescent="0.3">
      <c r="A28" s="1"/>
      <c r="C28" s="7" t="str">
        <f>IF(Tabela134[[#This Row],[DATA]],PROPER(TEXT(Tabela134[[#This Row],[DATA]],"mmm")),"")</f>
        <v/>
      </c>
      <c r="D28" s="8"/>
      <c r="E28" s="8"/>
      <c r="F28" s="9"/>
      <c r="G28" s="9"/>
      <c r="H28" s="9"/>
      <c r="I28" s="9"/>
      <c r="J28" s="9"/>
      <c r="K28" s="9"/>
      <c r="L28" s="9"/>
      <c r="M28" s="9"/>
      <c r="N28" s="9"/>
    </row>
    <row r="29" spans="1:14" x14ac:dyDescent="0.3">
      <c r="A29" s="1"/>
      <c r="C29" s="7" t="str">
        <f>IF(Tabela134[[#This Row],[DATA]],PROPER(TEXT(Tabela134[[#This Row],[DATA]],"mmm")),"")</f>
        <v/>
      </c>
      <c r="D29" s="8"/>
      <c r="E29" s="8"/>
      <c r="F29" s="9"/>
      <c r="G29" s="9"/>
      <c r="H29" s="9"/>
      <c r="I29" s="9"/>
      <c r="J29" s="9"/>
      <c r="K29" s="9"/>
      <c r="L29" s="9"/>
      <c r="M29" s="9"/>
      <c r="N29" s="9"/>
    </row>
    <row r="30" spans="1:14" x14ac:dyDescent="0.3">
      <c r="A30" s="1"/>
      <c r="C30" s="7" t="str">
        <f>IF(Tabela134[[#This Row],[DATA]],PROPER(TEXT(Tabela134[[#This Row],[DATA]],"mmm")),"")</f>
        <v/>
      </c>
      <c r="D30" s="8"/>
      <c r="E30" s="8"/>
      <c r="F30" s="9"/>
      <c r="G30" s="9"/>
      <c r="H30" s="9"/>
      <c r="I30" s="9"/>
      <c r="J30" s="9"/>
      <c r="K30" s="9"/>
      <c r="L30" s="9"/>
      <c r="M30" s="9"/>
      <c r="N30" s="9"/>
    </row>
    <row r="31" spans="1:14" x14ac:dyDescent="0.3">
      <c r="A31" s="1"/>
      <c r="C31" s="10" t="str">
        <f>IF(Tabela134[[#This Row],[DATA]],PROPER(TEXT(Tabela134[[#This Row],[DATA]],"mmm")),"")</f>
        <v/>
      </c>
      <c r="D31" s="11"/>
      <c r="E31" s="11"/>
      <c r="F31" s="12"/>
      <c r="G31" s="12"/>
      <c r="H31" s="12"/>
      <c r="I31" s="12"/>
      <c r="J31" s="12"/>
      <c r="K31" s="12"/>
      <c r="L31" s="12"/>
      <c r="M31" s="12"/>
      <c r="N31" s="12"/>
    </row>
  </sheetData>
  <mergeCells count="12">
    <mergeCell ref="F6:M6"/>
    <mergeCell ref="F7:M7"/>
    <mergeCell ref="C2:D2"/>
    <mergeCell ref="G2:H2"/>
    <mergeCell ref="I2:L2"/>
    <mergeCell ref="C3:D7"/>
    <mergeCell ref="G3:H3"/>
    <mergeCell ref="I3:L3"/>
    <mergeCell ref="G4:H4"/>
    <mergeCell ref="I4:L4"/>
    <mergeCell ref="G5:H5"/>
    <mergeCell ref="I5:L5"/>
  </mergeCells>
  <conditionalFormatting sqref="L10:L31">
    <cfRule type="containsText" dxfId="20" priority="1" operator="containsText" text="PDS">
      <formula>NOT(ISERROR(SEARCH("PDS",L10)))</formula>
    </cfRule>
    <cfRule type="containsText" dxfId="19" priority="2" operator="containsText" text="BCB">
      <formula>NOT(ISERROR(SEARCH("BCB",L10)))</formula>
    </cfRule>
    <cfRule type="containsText" dxfId="18" priority="3" operator="containsText" text="ITM">
      <formula>NOT(ISERROR(SEARCH("ITM",L10)))</formula>
    </cfRule>
    <cfRule type="containsText" dxfId="17" priority="4" operator="containsText" text="PDT">
      <formula>NOT(ISERROR(SEARCH("PDT",L10)))</formula>
    </cfRule>
    <cfRule type="containsText" dxfId="16" priority="5" operator="containsText" text="STI">
      <formula>NOT(ISERROR(SEARCH("STI",L10)))</formula>
    </cfRule>
  </conditionalFormatting>
  <dataValidations count="2">
    <dataValidation type="list" allowBlank="1" showInputMessage="1" showErrorMessage="1" sqref="M10:M31" xr:uid="{00000000-0002-0000-0400-000000000000}">
      <formula1>"LEVE, MÉDIO, GRAVE, FATAL"</formula1>
    </dataValidation>
    <dataValidation type="list" allowBlank="1" showInputMessage="1" showErrorMessage="1" sqref="N10:N31" xr:uid="{00000000-0002-0000-0400-000001000000}">
      <formula1>"COM AFASTAMENTO, SEM AFASTAMENTO, FATAL"</formula1>
    </dataValidation>
  </dataValidations>
  <pageMargins left="0.511811024" right="0.511811024" top="0.78740157499999996" bottom="0.78740157499999996" header="0.31496062000000002" footer="0.31496062000000002"/>
  <pageSetup paperSize="9" scale="17"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BASE</vt:lpstr>
      <vt:lpstr>TG e TF</vt:lpstr>
      <vt:lpstr>NDGS</vt:lpstr>
      <vt:lpstr>Painel Acidentes</vt:lpstr>
      <vt:lpstr>Validação</vt:lpstr>
      <vt:lpstr>Painel Incidentes</vt:lpstr>
      <vt:lpstr>INCIDENTES INTERNOS</vt:lpstr>
      <vt:lpstr>NÃO ACIDENTES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VALVICK SALES</dc:creator>
  <cp:lastModifiedBy>Marcus  Vinicius</cp:lastModifiedBy>
  <cp:lastPrinted>2022-08-25T11:35:29Z</cp:lastPrinted>
  <dcterms:created xsi:type="dcterms:W3CDTF">2022-08-24T16:18:08Z</dcterms:created>
  <dcterms:modified xsi:type="dcterms:W3CDTF">2026-10-26T12:15:20Z</dcterms:modified>
</cp:coreProperties>
</file>